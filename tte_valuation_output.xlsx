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DCF - Modèle" sheetId="2" state="visible" r:id="rId2"/>
    <sheet xmlns:r="http://schemas.openxmlformats.org/officeDocument/2006/relationships" name="DCF - Sensibilité" sheetId="3" state="visible" r:id="rId3"/>
    <sheet xmlns:r="http://schemas.openxmlformats.org/officeDocument/2006/relationships" name="Comps - Peers" sheetId="4" state="visible" r:id="rId4"/>
    <sheet xmlns:r="http://schemas.openxmlformats.org/officeDocument/2006/relationships" name="Comps - Résultat" sheetId="5" state="visible" r:id="rId5"/>
    <sheet xmlns:r="http://schemas.openxmlformats.org/officeDocument/2006/relationships" name="Football Field" sheetId="6" state="visible" r:id="rId6"/>
    <sheet xmlns:r="http://schemas.openxmlformats.org/officeDocument/2006/relationships" name="Compte de résultat" sheetId="7" state="visible" r:id="rId7"/>
    <sheet xmlns:r="http://schemas.openxmlformats.org/officeDocument/2006/relationships" name="Bilan" sheetId="8" state="visible" r:id="rId8"/>
    <sheet xmlns:r="http://schemas.openxmlformats.org/officeDocument/2006/relationships" name="Cash-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;($#,##0);&quot;-&quot;"/>
    <numFmt numFmtId="166" formatCode="#,##0.0"/>
    <numFmt numFmtId="167" formatCode="0.000"/>
    <numFmt numFmtId="168" formatCode="$#,##0.00"/>
    <numFmt numFmtId="169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sz val="12"/>
    </font>
    <font>
      <name val="Arial"/>
      <color rgb="00008000"/>
      <sz val="10"/>
    </font>
    <font>
      <name val="Arial"/>
      <b val="1"/>
      <color rgb="00008000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2F2F2"/>
      </patternFill>
    </fill>
  </fills>
  <borders count="17">
    <border>
      <left/>
      <right/>
      <top/>
      <bottom/>
      <diagonal/>
    </border>
    <border>
      <left style="thin">
        <color rgb="00BFBFBF"/>
      </left>
      <right/>
      <top style="thin">
        <color rgb="00BFBFBF"/>
      </top>
      <bottom/>
    </border>
    <border>
      <left/>
      <right style="thin">
        <color rgb="00BFBFBF"/>
      </right>
      <top style="thin">
        <color rgb="00BFBFBF"/>
      </top>
      <bottom/>
    </border>
    <border>
      <left style="thin">
        <color rgb="00BFBFBF"/>
      </left>
      <right/>
      <top/>
      <bottom/>
    </border>
    <border>
      <left/>
      <right style="thin">
        <color rgb="00BFBFBF"/>
      </right>
      <top/>
      <bottom/>
    </border>
    <border>
      <left style="thin">
        <color rgb="00BFBFBF"/>
      </left>
      <right/>
      <top/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</border>
    <border>
      <left style="thin">
        <color rgb="00FFC000"/>
      </left>
      <right/>
      <top style="thin">
        <color rgb="00FFC000"/>
      </top>
      <bottom/>
    </border>
    <border>
      <left/>
      <right/>
      <top style="thin">
        <color rgb="00FFC000"/>
      </top>
      <bottom/>
    </border>
    <border>
      <left/>
      <right style="thin">
        <color rgb="00FFC000"/>
      </right>
      <top style="thin">
        <color rgb="00FFC000"/>
      </top>
      <bottom/>
    </border>
    <border>
      <left style="thin">
        <color rgb="00FFC000"/>
      </left>
      <right/>
      <top/>
      <bottom style="thin">
        <color rgb="00FFC000"/>
      </bottom>
    </border>
    <border>
      <left/>
      <right/>
      <top/>
      <bottom style="thin">
        <color rgb="00FFC000"/>
      </bottom>
    </border>
    <border>
      <left/>
      <right style="thin">
        <color rgb="00FFC000"/>
      </right>
      <top/>
      <bottom style="thin">
        <color rgb="00FFC000"/>
      </bottom>
    </border>
    <border>
      <left/>
      <right/>
      <top style="thin">
        <color rgb="00BFBFBF"/>
      </top>
      <bottom/>
    </border>
    <border>
      <left/>
      <right/>
      <top/>
      <bottom/>
    </border>
    <border>
      <left/>
      <right/>
      <top/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4" fillId="0" borderId="3" pivotButton="0" quotePrefix="0" xfId="0"/>
    <xf numFmtId="168" fontId="11" fillId="0" borderId="4" pivotButton="0" quotePrefix="0" xfId="0"/>
    <xf numFmtId="0" fontId="7" fillId="0" borderId="3" pivotButton="0" quotePrefix="0" xfId="0"/>
    <xf numFmtId="168" fontId="12" fillId="3" borderId="4" pivotButton="0" quotePrefix="0" xfId="0"/>
    <xf numFmtId="0" fontId="11" fillId="0" borderId="4" pivotButton="0" quotePrefix="0" xfId="0"/>
    <xf numFmtId="169" fontId="11" fillId="0" borderId="4" pivotButton="0" quotePrefix="0" xfId="0"/>
    <xf numFmtId="164" fontId="11" fillId="0" borderId="4" pivotButton="0" quotePrefix="0" xfId="0"/>
    <xf numFmtId="0" fontId="4" fillId="0" borderId="5" pivotButton="0" quotePrefix="0" xfId="0"/>
    <xf numFmtId="164" fontId="11" fillId="0" borderId="6" pivotButton="0" quotePrefix="0" xfId="0"/>
    <xf numFmtId="168" fontId="6" fillId="0" borderId="4" pivotButton="0" quotePrefix="0" xfId="0"/>
    <xf numFmtId="168" fontId="6" fillId="0" borderId="6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1" pivotButton="0" quotePrefix="0" xfId="0"/>
    <xf numFmtId="168" fontId="6" fillId="0" borderId="2" pivotButton="0" quotePrefix="0" xfId="0"/>
    <xf numFmtId="0" fontId="6" fillId="0" borderId="4" pivotButton="0" quotePrefix="0" xfId="0"/>
    <xf numFmtId="1" fontId="6" fillId="0" borderId="4" pivotButton="0" quotePrefix="0" xfId="0"/>
    <xf numFmtId="0" fontId="6" fillId="0" borderId="6" pivotButton="0" quotePrefix="0" xfId="0"/>
    <xf numFmtId="0" fontId="0" fillId="0" borderId="6" pivotButton="0" quotePrefix="0" xfId="0"/>
    <xf numFmtId="0" fontId="5" fillId="0" borderId="1" pivotButton="0" quotePrefix="0" xfId="0"/>
    <xf numFmtId="0" fontId="4" fillId="0" borderId="2" pivotButton="0" quotePrefix="0" xfId="0"/>
    <xf numFmtId="0" fontId="6" fillId="0" borderId="3" pivotButton="0" quotePrefix="0" xfId="0"/>
    <xf numFmtId="0" fontId="4" fillId="0" borderId="4" pivotButton="0" quotePrefix="0" xfId="0"/>
    <xf numFmtId="0" fontId="11" fillId="0" borderId="3" pivotButton="0" quotePrefix="0" xfId="0"/>
    <xf numFmtId="0" fontId="4" fillId="0" borderId="6" pivotButton="0" quotePrefix="0" xfId="0"/>
    <xf numFmtId="164" fontId="5" fillId="0" borderId="4" pivotButton="0" quotePrefix="0" xfId="0"/>
    <xf numFmtId="2" fontId="5" fillId="0" borderId="4" pivotButton="0" quotePrefix="0" xfId="0"/>
    <xf numFmtId="165" fontId="5" fillId="0" borderId="4" pivotButton="0" quotePrefix="0" xfId="0"/>
    <xf numFmtId="166" fontId="5" fillId="0" borderId="4" pivotButton="0" quotePrefix="0" xfId="0"/>
    <xf numFmtId="164" fontId="5" fillId="0" borderId="6" pivotButton="0" quotePrefix="0" xfId="0"/>
    <xf numFmtId="164" fontId="6" fillId="0" borderId="4" pivotButton="0" quotePrefix="0" xfId="0"/>
    <xf numFmtId="0" fontId="7" fillId="0" borderId="5" pivotButton="0" quotePrefix="0" xfId="0"/>
    <xf numFmtId="164" fontId="8" fillId="3" borderId="6" pivotButton="0" quotePrefix="0" xfId="0"/>
    <xf numFmtId="0" fontId="3" fillId="2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7" fillId="0" borderId="10" pivotButton="0" quotePrefix="0" xfId="0"/>
    <xf numFmtId="1" fontId="9" fillId="4" borderId="11" pivotButton="0" quotePrefix="0" xfId="0"/>
    <xf numFmtId="0" fontId="10" fillId="4" borderId="12" pivotButton="0" quotePrefix="0" xfId="0"/>
    <xf numFmtId="0" fontId="0" fillId="0" borderId="1" pivotButton="0" quotePrefix="0" xfId="0"/>
    <xf numFmtId="0" fontId="3" fillId="2" borderId="13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164" fontId="5" fillId="0" borderId="14" pivotButton="0" quotePrefix="0" xfId="0"/>
    <xf numFmtId="164" fontId="7" fillId="0" borderId="4" pivotButton="0" quotePrefix="0" xfId="0"/>
    <xf numFmtId="164" fontId="5" fillId="0" borderId="15" pivotButton="0" quotePrefix="0" xfId="0"/>
    <xf numFmtId="164" fontId="7" fillId="0" borderId="6" pivotButton="0" quotePrefix="0" xfId="0"/>
    <xf numFmtId="0" fontId="0" fillId="0" borderId="13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7" fillId="0" borderId="15" pivotButton="0" quotePrefix="0" xfId="0"/>
    <xf numFmtId="165" fontId="5" fillId="0" borderId="14" pivotButton="0" quotePrefix="0" xfId="0"/>
    <xf numFmtId="0" fontId="0" fillId="0" borderId="14" pivotButton="0" quotePrefix="0" xfId="0"/>
    <xf numFmtId="0" fontId="0" fillId="0" borderId="4" pivotButton="0" quotePrefix="0" xfId="0"/>
    <xf numFmtId="165" fontId="6" fillId="0" borderId="14" pivotButton="0" quotePrefix="0" xfId="0"/>
    <xf numFmtId="165" fontId="6" fillId="0" borderId="4" pivotButton="0" quotePrefix="0" xfId="0"/>
    <xf numFmtId="0" fontId="4" fillId="5" borderId="3" pivotButton="0" quotePrefix="0" xfId="0"/>
    <xf numFmtId="165" fontId="6" fillId="5" borderId="14" pivotButton="0" quotePrefix="0" xfId="0"/>
    <xf numFmtId="165" fontId="6" fillId="5" borderId="4" pivotButton="0" quotePrefix="0" xfId="0"/>
    <xf numFmtId="165" fontId="7" fillId="0" borderId="14" pivotButton="0" quotePrefix="0" xfId="0"/>
    <xf numFmtId="165" fontId="7" fillId="0" borderId="4" pivotButton="0" quotePrefix="0" xfId="0"/>
    <xf numFmtId="1" fontId="6" fillId="5" borderId="14" pivotButton="0" quotePrefix="0" xfId="0"/>
    <xf numFmtId="1" fontId="6" fillId="5" borderId="4" pivotButton="0" quotePrefix="0" xfId="0"/>
    <xf numFmtId="167" fontId="6" fillId="0" borderId="14" pivotButton="0" quotePrefix="0" xfId="0"/>
    <xf numFmtId="167" fontId="6" fillId="0" borderId="4" pivotButton="0" quotePrefix="0" xfId="0"/>
    <xf numFmtId="0" fontId="4" fillId="5" borderId="5" pivotButton="0" quotePrefix="0" xfId="0"/>
    <xf numFmtId="165" fontId="6" fillId="5" borderId="15" pivotButton="0" quotePrefix="0" xfId="0"/>
    <xf numFmtId="165" fontId="6" fillId="5" borderId="6" pivotButton="0" quotePrefix="0" xfId="0"/>
    <xf numFmtId="165" fontId="6" fillId="0" borderId="6" pivotButton="0" quotePrefix="0" xfId="0"/>
    <xf numFmtId="165" fontId="4" fillId="0" borderId="4" pivotButton="0" quotePrefix="0" xfId="0"/>
    <xf numFmtId="166" fontId="4" fillId="0" borderId="4" pivotButton="0" quotePrefix="0" xfId="0"/>
    <xf numFmtId="168" fontId="10" fillId="3" borderId="4" pivotButton="0" quotePrefix="0" xfId="0"/>
    <xf numFmtId="168" fontId="5" fillId="0" borderId="4" pivotButton="0" quotePrefix="0" xfId="0"/>
    <xf numFmtId="169" fontId="7" fillId="0" borderId="6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5" fillId="0" borderId="0" pivotButton="0" quotePrefix="0" xfId="0"/>
    <xf numFmtId="168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65" fontId="6" fillId="0" borderId="0" pivotButton="0" quotePrefix="0" xfId="0"/>
    <xf numFmtId="169" fontId="6" fillId="0" borderId="0" pivotButton="0" quotePrefix="0" xfId="0"/>
    <xf numFmtId="0" fontId="8" fillId="0" borderId="0" pivotButton="0" quotePrefix="0" xfId="0"/>
    <xf numFmtId="165" fontId="5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68" fontId="7" fillId="3" borderId="0" pivotButton="0" quotePrefix="0" xfId="0"/>
    <xf numFmtId="165" fontId="6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Football Field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'Football Field'!B4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'Football Field'!$A$5:$A$8</f>
            </numRef>
          </cat>
          <val>
            <numRef>
              <f>'Football Field'!$B$5:$B$8</f>
            </numRef>
          </val>
        </ser>
        <ser>
          <idx val="1"/>
          <order val="1"/>
          <tx>
            <strRef>
              <f>'Football Field'!C4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'Football Field'!$A$5:$A$8</f>
            </numRef>
          </cat>
          <val>
            <numRef>
              <f>'Football Field'!$C$5:$C$8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par 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Synthèse de valorisation — TTE</t>
        </is>
      </c>
    </row>
    <row r="2">
      <c r="A2" s="2" t="inlineStr">
        <is>
          <t>Généré le 21/09/2026</t>
        </is>
      </c>
    </row>
    <row r="4" ht="20" customHeight="1">
      <c r="A4" s="3" t="inlineStr">
        <is>
          <t>VALORISATION</t>
        </is>
      </c>
      <c r="B4" s="4" t="n"/>
    </row>
    <row r="5">
      <c r="A5" s="5" t="inlineStr">
        <is>
          <t>Prix de marché actuel</t>
        </is>
      </c>
      <c r="B5" s="6">
        <f>'DCF - Modèle'!B62</f>
        <v/>
      </c>
    </row>
    <row r="6">
      <c r="A6" s="7" t="inlineStr">
        <is>
          <t>Valeur par action — DCF (scénario actif)</t>
        </is>
      </c>
      <c r="B6" s="8">
        <f>'DCF - Modèle'!B61</f>
        <v/>
      </c>
    </row>
    <row r="7">
      <c r="A7" s="5" t="inlineStr">
        <is>
          <t>Scénario actif</t>
        </is>
      </c>
      <c r="B7" s="9">
        <f>'DCF - Modèle'!C24</f>
        <v/>
      </c>
    </row>
    <row r="8">
      <c r="A8" s="7" t="inlineStr">
        <is>
          <t>Valeur par action — Comparables (moyenne)</t>
        </is>
      </c>
      <c r="B8" s="8">
        <f>'Comps - Résultat'!D16</f>
        <v/>
      </c>
    </row>
    <row r="9">
      <c r="A9" s="5" t="inlineStr">
        <is>
          <t>Ratio DCF / marché</t>
        </is>
      </c>
      <c r="B9" s="10">
        <f>'DCF - Modèle'!B63</f>
        <v/>
      </c>
    </row>
    <row r="10">
      <c r="A10" s="5" t="inlineStr">
        <is>
          <t>WACC</t>
        </is>
      </c>
      <c r="B10" s="11">
        <f>'DCF - Modèle'!B21</f>
        <v/>
      </c>
    </row>
    <row r="11">
      <c r="A11" s="5" t="inlineStr">
        <is>
          <t>Croissance perpétuelle retenue</t>
        </is>
      </c>
      <c r="B11" s="11">
        <f>'DCF - Modèle'!E27</f>
        <v/>
      </c>
    </row>
    <row r="12">
      <c r="A12" s="12" t="inlineStr">
        <is>
          <t>Marge d'EBIT retenue</t>
        </is>
      </c>
      <c r="B12" s="13">
        <f>'DCF - Modèle'!E26</f>
        <v/>
      </c>
    </row>
    <row r="14" ht="20" customHeight="1">
      <c r="A14" s="3" t="inlineStr">
        <is>
          <t>SCÉNARIOS (SNAPSHOT PYTHON)</t>
        </is>
      </c>
      <c r="B14" s="4" t="n"/>
    </row>
    <row r="15">
      <c r="A15" s="5" t="inlineStr">
        <is>
          <t>Bear</t>
        </is>
      </c>
      <c r="B15" s="14" t="n">
        <v>47.64492080680372</v>
      </c>
    </row>
    <row r="16">
      <c r="A16" s="5" t="inlineStr">
        <is>
          <t>Base</t>
        </is>
      </c>
      <c r="B16" s="14" t="n">
        <v>86.80375981322709</v>
      </c>
    </row>
    <row r="17">
      <c r="A17" s="12" t="inlineStr">
        <is>
          <t>Bull</t>
        </is>
      </c>
      <c r="B17" s="15" t="n">
        <v>141.7810871452604</v>
      </c>
    </row>
    <row r="19" ht="20" customHeight="1">
      <c r="A19" s="16" t="inlineStr">
        <is>
          <t>CONSENSUS ANALYSTES</t>
        </is>
      </c>
    </row>
    <row r="20">
      <c r="A20" s="17" t="inlineStr">
        <is>
          <t>Prix cible moyen</t>
        </is>
      </c>
      <c r="B20" s="18" t="n">
        <v>96.7</v>
      </c>
    </row>
    <row r="21">
      <c r="A21" s="5" t="inlineStr">
        <is>
          <t>Range analystes (low - high)</t>
        </is>
      </c>
      <c r="B21" s="19" t="inlineStr">
        <is>
          <t>81.00 - 108.00</t>
        </is>
      </c>
    </row>
    <row r="22">
      <c r="A22" s="5" t="inlineStr">
        <is>
          <t>Nombre d'analystes</t>
        </is>
      </c>
      <c r="B22" s="20" t="n">
        <v>10</v>
      </c>
    </row>
    <row r="23">
      <c r="A23" s="12" t="inlineStr">
        <is>
          <t>Recommandation</t>
        </is>
      </c>
      <c r="B23" s="21" t="inlineStr">
        <is>
          <t>buy</t>
        </is>
      </c>
    </row>
    <row r="25" ht="20" customHeight="1">
      <c r="A25" s="3" t="inlineStr">
        <is>
          <t>COMPARABLES RETENUS</t>
        </is>
      </c>
      <c r="B25" s="4" t="n"/>
    </row>
    <row r="26">
      <c r="A26" s="12" t="inlineStr">
        <is>
          <t>XOM, CVX, SHEL, BP, E, COP, EQNR</t>
        </is>
      </c>
      <c r="B26" s="22" t="n"/>
    </row>
    <row r="28" ht="20" customHeight="1">
      <c r="A28" s="16" t="inlineStr">
        <is>
          <t>LÉGENDE</t>
        </is>
      </c>
    </row>
    <row r="29">
      <c r="A29" s="23" t="inlineStr">
        <is>
          <t>Bleu</t>
        </is>
      </c>
      <c r="B29" s="24" t="inlineStr">
        <is>
          <t>Hypothèse modifiable (input)</t>
        </is>
      </c>
    </row>
    <row r="30">
      <c r="A30" s="25" t="inlineStr">
        <is>
          <t>Noir</t>
        </is>
      </c>
      <c r="B30" s="26" t="inlineStr">
        <is>
          <t>Formule calculée</t>
        </is>
      </c>
    </row>
    <row r="31">
      <c r="A31" s="27" t="inlineStr">
        <is>
          <t>Vert</t>
        </is>
      </c>
      <c r="B31" s="26" t="inlineStr">
        <is>
          <t>Lien vers un autre onglet</t>
        </is>
      </c>
    </row>
    <row r="32">
      <c r="A32" s="12" t="inlineStr">
        <is>
          <t>Jaune</t>
        </is>
      </c>
      <c r="B32" s="28" t="inlineStr">
        <is>
          <t>Résultat clé (surligné)</t>
        </is>
      </c>
    </row>
  </sheetData>
  <mergeCells count="5">
    <mergeCell ref="A4:B4"/>
    <mergeCell ref="A25:B25"/>
    <mergeCell ref="A19:B19"/>
    <mergeCell ref="A28:B28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DCF — TTE</t>
        </is>
      </c>
    </row>
    <row r="2">
      <c r="A2" s="2" t="inlineStr">
        <is>
          <t>Bleu = hypothèse modifiable  |  Noir = formule  |  Jaune = résultat clé</t>
        </is>
      </c>
    </row>
    <row r="3" ht="20" customHeight="1">
      <c r="A3" s="3" t="inlineStr">
        <is>
          <t>HYPOTHÈSES</t>
        </is>
      </c>
      <c r="B3" s="4" t="n"/>
    </row>
    <row r="4">
      <c r="A4" s="5" t="inlineStr">
        <is>
          <t>Taux sans risque</t>
        </is>
      </c>
      <c r="B4" s="29" t="n">
        <v>0.042</v>
      </c>
      <c r="C4" s="2" t="inlineStr">
        <is>
          <t>10Y US Treasury — U.S. Department of the Treasury (home.treasury.gov/resource-center/data-chart-center/interest-rates) ou FRED, série DGS10.</t>
        </is>
      </c>
    </row>
    <row r="5">
      <c r="A5" s="5" t="inlineStr">
        <is>
          <t>Prime de risque marché</t>
        </is>
      </c>
      <c r="B5" s="29" t="n">
        <v>0.05</v>
      </c>
      <c r="C5" s="2" t="inlineStr">
        <is>
          <t>Equity Risk Premium (US) — Damodaran, NYU Stern (pages.stern.nyu.edu/~adamodar).</t>
        </is>
      </c>
    </row>
    <row r="6">
      <c r="A6" s="5" t="inlineStr">
        <is>
          <t>Beta</t>
        </is>
      </c>
      <c r="B6" s="30" t="n">
        <v>0.95</v>
      </c>
      <c r="C6" s="2" t="inlineStr">
        <is>
          <t>yfinance (5Y monthly vs S&amp;P 500). À recouper avec Bloomberg/Refinitiv si la valeur semble aberrante, ou avec le beta moyen des comparables.</t>
        </is>
      </c>
    </row>
    <row r="7">
      <c r="A7" s="5" t="inlineStr">
        <is>
          <t>Coût de la dette (avant impôt)</t>
        </is>
      </c>
      <c r="B7" s="29" t="n">
        <v>0.035</v>
      </c>
      <c r="C7" s="2" t="inlineStr">
        <is>
          <t>Approximé par le taux d'intérêt moyen sur la dette existante (notes annexes des états financiers) ou le spread de crédit observé.</t>
        </is>
      </c>
    </row>
    <row r="8">
      <c r="A8" s="5" t="inlineStr">
        <is>
          <t>Taux d'imposition</t>
        </is>
      </c>
      <c r="B8" s="29" t="n">
        <v>0.25</v>
      </c>
      <c r="C8" s="2" t="inlineStr">
        <is>
          <t>Taux effectif observé sur les derniers comptes annuels de la société (10-K / 20-F / document d'enregistrement universel).</t>
        </is>
      </c>
    </row>
    <row r="9">
      <c r="A9" s="5" t="inlineStr">
        <is>
          <t>Market cap (equity, M)</t>
        </is>
      </c>
      <c r="B9" s="31" t="n">
        <v>200624.553984</v>
      </c>
    </row>
    <row r="10">
      <c r="A10" s="5" t="inlineStr">
        <is>
          <t>Dette totale (M)</t>
        </is>
      </c>
      <c r="B10" s="31" t="n">
        <v>60071</v>
      </c>
    </row>
    <row r="11">
      <c r="A11" s="5" t="inlineStr">
        <is>
          <t>Dette nette (M)</t>
        </is>
      </c>
      <c r="B11" s="31" t="n">
        <v>35919</v>
      </c>
    </row>
    <row r="12">
      <c r="A12" s="5" t="inlineStr">
        <is>
          <t>Actions en circulation (M)</t>
        </is>
      </c>
      <c r="B12" s="32" t="n">
        <v>2209.034948073112</v>
      </c>
    </row>
    <row r="13">
      <c r="A13" s="5" t="inlineStr">
        <is>
          <t>Capex (% du CA)</t>
        </is>
      </c>
      <c r="B13" s="29" t="n">
        <v>0.08</v>
      </c>
    </row>
    <row r="14">
      <c r="A14" s="5" t="inlineStr">
        <is>
          <t>D&amp;A (% du CA)</t>
        </is>
      </c>
      <c r="B14" s="29" t="n">
        <v>0.06</v>
      </c>
    </row>
    <row r="15">
      <c r="A15" s="12" t="inlineStr">
        <is>
          <t>Variation du BFR (% du CA)</t>
        </is>
      </c>
      <c r="B15" s="33" t="n">
        <v>0.005</v>
      </c>
    </row>
    <row r="17" ht="20" customHeight="1">
      <c r="A17" s="3" t="inlineStr">
        <is>
          <t>WACC (CAPM)</t>
        </is>
      </c>
      <c r="B17" s="4" t="n"/>
    </row>
    <row r="18">
      <c r="A18" s="5" t="inlineStr">
        <is>
          <t>Coût des fonds propres (CAPM)</t>
        </is>
      </c>
      <c r="B18" s="34">
        <f>B4+B6*B5</f>
        <v/>
      </c>
    </row>
    <row r="19">
      <c r="A19" s="5" t="inlineStr">
        <is>
          <t>Poids Equity</t>
        </is>
      </c>
      <c r="B19" s="34">
        <f>B9/(B9+B10)</f>
        <v/>
      </c>
    </row>
    <row r="20">
      <c r="A20" s="5" t="inlineStr">
        <is>
          <t>Poids Dette</t>
        </is>
      </c>
      <c r="B20" s="34">
        <f>1-B19</f>
        <v/>
      </c>
    </row>
    <row r="21">
      <c r="A21" s="35" t="inlineStr">
        <is>
          <t>WACC</t>
        </is>
      </c>
      <c r="B21" s="36">
        <f>B19*B18+B20*B7*(1-B8)</f>
        <v/>
      </c>
    </row>
    <row r="23" ht="20" customHeight="1">
      <c r="A23" s="37" t="inlineStr">
        <is>
          <t>SCÉNARIO ACTIF</t>
        </is>
      </c>
      <c r="B23" s="38" t="n"/>
      <c r="C23" s="39" t="n"/>
    </row>
    <row r="24">
      <c r="A24" s="40" t="inlineStr">
        <is>
          <t>Sélecteur (1 = Bear, 2 = Base, 3 = Bull)</t>
        </is>
      </c>
      <c r="B24" s="41" t="n">
        <v>2</v>
      </c>
      <c r="C24" s="42">
        <f>CHOOSE(B24,"Bear","Base","Bull")</f>
        <v/>
      </c>
    </row>
    <row r="25">
      <c r="A25" s="43" t="inlineStr"/>
      <c r="B25" s="44" t="inlineStr">
        <is>
          <t>Bear</t>
        </is>
      </c>
      <c r="C25" s="44" t="inlineStr">
        <is>
          <t>Base</t>
        </is>
      </c>
      <c r="D25" s="44" t="inlineStr">
        <is>
          <t>Bull</t>
        </is>
      </c>
      <c r="E25" s="45" t="inlineStr">
        <is>
          <t>Retenu (actif)</t>
        </is>
      </c>
    </row>
    <row r="26">
      <c r="A26" s="5" t="inlineStr">
        <is>
          <t>Marge d'EBIT</t>
        </is>
      </c>
      <c r="B26" s="46" t="n">
        <v>0.1044787736934009</v>
      </c>
      <c r="C26" s="46" t="n">
        <v>0.1244787736934009</v>
      </c>
      <c r="D26" s="46" t="n">
        <v>0.1444787736934009</v>
      </c>
      <c r="E26" s="47">
        <f>CHOOSE($B$24,B26,C26,D26)</f>
        <v/>
      </c>
      <c r="F26" s="2" t="inlineStr">
        <is>
          <t>Moyenne des 3 derniers exercices (yfinance) (Bear/Bull = delta ± 2% vs Base)</t>
        </is>
      </c>
    </row>
    <row r="27">
      <c r="A27" s="12" t="inlineStr">
        <is>
          <t>Croissance perpétuelle (g)</t>
        </is>
      </c>
      <c r="B27" s="48" t="n">
        <v>0.01</v>
      </c>
      <c r="C27" s="48" t="n">
        <v>0.02</v>
      </c>
      <c r="D27" s="48" t="n">
        <v>0.03</v>
      </c>
      <c r="E27" s="49">
        <f>CHOOSE($B$24,B27,C27,D27)</f>
        <v/>
      </c>
    </row>
    <row r="29" ht="20" customHeight="1">
      <c r="A29" s="3" t="inlineStr">
        <is>
          <t>CROISSANCE DU CA PAR SCÉNARIO (%)</t>
        </is>
      </c>
      <c r="B29" s="50" t="n"/>
      <c r="C29" s="50" t="n"/>
      <c r="D29" s="50" t="n"/>
      <c r="E29" s="50" t="n"/>
      <c r="F29" s="4" t="n"/>
    </row>
    <row r="30">
      <c r="A30" s="51" t="inlineStr">
        <is>
          <t>Année</t>
        </is>
      </c>
      <c r="B30" s="52" t="inlineStr">
        <is>
          <t>N+1</t>
        </is>
      </c>
      <c r="C30" s="52" t="inlineStr">
        <is>
          <t>N+2</t>
        </is>
      </c>
      <c r="D30" s="52" t="inlineStr">
        <is>
          <t>N+3</t>
        </is>
      </c>
      <c r="E30" s="52" t="inlineStr">
        <is>
          <t>N+4</t>
        </is>
      </c>
      <c r="F30" s="53" t="inlineStr">
        <is>
          <t>N+5</t>
        </is>
      </c>
    </row>
    <row r="31">
      <c r="A31" s="5" t="inlineStr">
        <is>
          <t>Bear</t>
        </is>
      </c>
      <c r="B31" s="46" t="n">
        <v>0</v>
      </c>
      <c r="C31" s="46" t="n">
        <v>-0.005</v>
      </c>
      <c r="D31" s="46" t="n">
        <v>-0.01</v>
      </c>
      <c r="E31" s="46" t="n">
        <v>-0.01</v>
      </c>
      <c r="F31" s="29" t="n">
        <v>-0.005</v>
      </c>
    </row>
    <row r="32">
      <c r="A32" s="5" t="inlineStr">
        <is>
          <t>Base</t>
        </is>
      </c>
      <c r="B32" s="46" t="n">
        <v>0.02</v>
      </c>
      <c r="C32" s="46" t="n">
        <v>0.02</v>
      </c>
      <c r="D32" s="46" t="n">
        <v>0.015</v>
      </c>
      <c r="E32" s="46" t="n">
        <v>0.015</v>
      </c>
      <c r="F32" s="29" t="n">
        <v>0.01</v>
      </c>
    </row>
    <row r="33">
      <c r="A33" s="5" t="inlineStr">
        <is>
          <t>Bull</t>
        </is>
      </c>
      <c r="B33" s="46" t="n">
        <v>0.04</v>
      </c>
      <c r="C33" s="46" t="n">
        <v>0.035</v>
      </c>
      <c r="D33" s="46" t="n">
        <v>0.03</v>
      </c>
      <c r="E33" s="46" t="n">
        <v>0.025</v>
      </c>
      <c r="F33" s="29" t="n">
        <v>0.02</v>
      </c>
    </row>
    <row r="34">
      <c r="A34" s="35" t="inlineStr">
        <is>
          <t>Retenue (active)</t>
        </is>
      </c>
      <c r="B34" s="54">
        <f>CHOOSE($B$24,B31,B32,B33)</f>
        <v/>
      </c>
      <c r="C34" s="54">
        <f>CHOOSE($B$24,C31,C32,C33)</f>
        <v/>
      </c>
      <c r="D34" s="54">
        <f>CHOOSE($B$24,D31,D32,D33)</f>
        <v/>
      </c>
      <c r="E34" s="54">
        <f>CHOOSE($B$24,E31,E32,E33)</f>
        <v/>
      </c>
      <c r="F34" s="49">
        <f>CHOOSE($B$24,F31,F32,F33)</f>
        <v/>
      </c>
    </row>
    <row r="36" ht="20" customHeight="1">
      <c r="A36" s="3" t="inlineStr">
        <is>
          <t>PROJECTION DES FLUX DE TRÉSORERIE DISPONIBLES</t>
        </is>
      </c>
      <c r="B36" s="50" t="n"/>
      <c r="C36" s="50" t="n"/>
      <c r="D36" s="50" t="n"/>
      <c r="E36" s="50" t="n"/>
      <c r="F36" s="4" t="n"/>
    </row>
    <row r="37">
      <c r="A37" s="5" t="inlineStr">
        <is>
          <t>CA de référence (dernier exercice, M)</t>
        </is>
      </c>
      <c r="B37" s="55" t="n">
        <v>182344</v>
      </c>
      <c r="C37" s="56" t="n"/>
      <c r="D37" s="56" t="n"/>
      <c r="E37" s="56" t="n"/>
      <c r="F37" s="57" t="n"/>
    </row>
    <row r="38">
      <c r="A38" s="51" t="inlineStr">
        <is>
          <t>Année</t>
        </is>
      </c>
      <c r="B38" s="52" t="inlineStr">
        <is>
          <t>N+1</t>
        </is>
      </c>
      <c r="C38" s="52" t="inlineStr">
        <is>
          <t>N+2</t>
        </is>
      </c>
      <c r="D38" s="52" t="inlineStr">
        <is>
          <t>N+3</t>
        </is>
      </c>
      <c r="E38" s="52" t="inlineStr">
        <is>
          <t>N+4</t>
        </is>
      </c>
      <c r="F38" s="53" t="inlineStr">
        <is>
          <t>N+5</t>
        </is>
      </c>
    </row>
    <row r="39">
      <c r="A39" s="5" t="inlineStr">
        <is>
          <t>Revenus (M)</t>
        </is>
      </c>
      <c r="B39" s="58">
        <f>B37*(1+B34)</f>
        <v/>
      </c>
      <c r="C39" s="58">
        <f>B39*(1+C34)</f>
        <v/>
      </c>
      <c r="D39" s="58">
        <f>C39*(1+D34)</f>
        <v/>
      </c>
      <c r="E39" s="58">
        <f>D39*(1+E34)</f>
        <v/>
      </c>
      <c r="F39" s="59">
        <f>E39*(1+F34)</f>
        <v/>
      </c>
    </row>
    <row r="40">
      <c r="A40" s="60" t="inlineStr">
        <is>
          <t>EBIT (M)</t>
        </is>
      </c>
      <c r="B40" s="61">
        <f>B39*$E$26</f>
        <v/>
      </c>
      <c r="C40" s="61">
        <f>C39*$E$26</f>
        <v/>
      </c>
      <c r="D40" s="61">
        <f>D39*$E$26</f>
        <v/>
      </c>
      <c r="E40" s="61">
        <f>E39*$E$26</f>
        <v/>
      </c>
      <c r="F40" s="62">
        <f>F39*$E$26</f>
        <v/>
      </c>
    </row>
    <row r="41">
      <c r="A41" s="5" t="inlineStr">
        <is>
          <t>NOPAT (M)</t>
        </is>
      </c>
      <c r="B41" s="58">
        <f>B40*(1-$B$8)</f>
        <v/>
      </c>
      <c r="C41" s="58">
        <f>C40*(1-$B$8)</f>
        <v/>
      </c>
      <c r="D41" s="58">
        <f>D40*(1-$B$8)</f>
        <v/>
      </c>
      <c r="E41" s="58">
        <f>E40*(1-$B$8)</f>
        <v/>
      </c>
      <c r="F41" s="59">
        <f>F40*(1-$B$8)</f>
        <v/>
      </c>
    </row>
    <row r="42">
      <c r="A42" s="60" t="inlineStr">
        <is>
          <t>D&amp;A (M)</t>
        </is>
      </c>
      <c r="B42" s="61">
        <f>B39*$B$14</f>
        <v/>
      </c>
      <c r="C42" s="61">
        <f>C39*$B$14</f>
        <v/>
      </c>
      <c r="D42" s="61">
        <f>D39*$B$14</f>
        <v/>
      </c>
      <c r="E42" s="61">
        <f>E39*$B$14</f>
        <v/>
      </c>
      <c r="F42" s="62">
        <f>F39*$B$14</f>
        <v/>
      </c>
    </row>
    <row r="43">
      <c r="A43" s="5" t="inlineStr">
        <is>
          <t>Capex (M)</t>
        </is>
      </c>
      <c r="B43" s="58">
        <f>B39*$B$13</f>
        <v/>
      </c>
      <c r="C43" s="58">
        <f>C39*$B$13</f>
        <v/>
      </c>
      <c r="D43" s="58">
        <f>D39*$B$13</f>
        <v/>
      </c>
      <c r="E43" s="58">
        <f>E39*$B$13</f>
        <v/>
      </c>
      <c r="F43" s="59">
        <f>F39*$B$13</f>
        <v/>
      </c>
    </row>
    <row r="44">
      <c r="A44" s="60" t="inlineStr">
        <is>
          <t>Variation du BFR (M)</t>
        </is>
      </c>
      <c r="B44" s="61">
        <f>B39*$B$15</f>
        <v/>
      </c>
      <c r="C44" s="61">
        <f>C39*$B$15</f>
        <v/>
      </c>
      <c r="D44" s="61">
        <f>D39*$B$15</f>
        <v/>
      </c>
      <c r="E44" s="61">
        <f>E39*$B$15</f>
        <v/>
      </c>
      <c r="F44" s="62">
        <f>F39*$B$15</f>
        <v/>
      </c>
    </row>
    <row r="45">
      <c r="A45" s="7" t="inlineStr">
        <is>
          <t>FCF (M)</t>
        </is>
      </c>
      <c r="B45" s="63">
        <f>B41+B42-B43-B44</f>
        <v/>
      </c>
      <c r="C45" s="63">
        <f>C41+C42-C43-C44</f>
        <v/>
      </c>
      <c r="D45" s="63">
        <f>D41+D42-D43-D44</f>
        <v/>
      </c>
      <c r="E45" s="63">
        <f>E41+E42-E43-E44</f>
        <v/>
      </c>
      <c r="F45" s="64">
        <f>F41+F42-F43-F44</f>
        <v/>
      </c>
    </row>
    <row r="46">
      <c r="A46" s="60" t="inlineStr">
        <is>
          <t>Période (t)</t>
        </is>
      </c>
      <c r="B46" s="65" t="n">
        <v>1</v>
      </c>
      <c r="C46" s="65" t="n">
        <v>2</v>
      </c>
      <c r="D46" s="65" t="n">
        <v>3</v>
      </c>
      <c r="E46" s="65" t="n">
        <v>4</v>
      </c>
      <c r="F46" s="66" t="n">
        <v>5</v>
      </c>
    </row>
    <row r="47">
      <c r="A47" s="5" t="inlineStr">
        <is>
          <t>Facteur d'actualisation</t>
        </is>
      </c>
      <c r="B47" s="67">
        <f>1/(1+$B$21)^B46</f>
        <v/>
      </c>
      <c r="C47" s="67">
        <f>1/(1+$B$21)^C46</f>
        <v/>
      </c>
      <c r="D47" s="67">
        <f>1/(1+$B$21)^D46</f>
        <v/>
      </c>
      <c r="E47" s="67">
        <f>1/(1+$B$21)^E46</f>
        <v/>
      </c>
      <c r="F47" s="68">
        <f>1/(1+$B$21)^F46</f>
        <v/>
      </c>
    </row>
    <row r="48">
      <c r="A48" s="69" t="inlineStr">
        <is>
          <t>VA des FCF (M)</t>
        </is>
      </c>
      <c r="B48" s="70">
        <f>B45*B47</f>
        <v/>
      </c>
      <c r="C48" s="70">
        <f>C45*C47</f>
        <v/>
      </c>
      <c r="D48" s="70">
        <f>D45*D47</f>
        <v/>
      </c>
      <c r="E48" s="70">
        <f>E45*E47</f>
        <v/>
      </c>
      <c r="F48" s="71">
        <f>F45*F47</f>
        <v/>
      </c>
    </row>
    <row r="50" ht="20" customHeight="1">
      <c r="A50" s="3" t="inlineStr">
        <is>
          <t>VALEUR TERMINALE</t>
        </is>
      </c>
      <c r="B50" s="4" t="n"/>
    </row>
    <row r="51">
      <c r="A51" s="5" t="inlineStr">
        <is>
          <t>Valeur terminale (M)</t>
        </is>
      </c>
      <c r="B51" s="59">
        <f>F45*(1+E27)/(B21-E27)</f>
        <v/>
      </c>
    </row>
    <row r="52">
      <c r="A52" s="12" t="inlineStr">
        <is>
          <t>VA de la valeur terminale (M)</t>
        </is>
      </c>
      <c r="B52" s="72">
        <f>B51*F47</f>
        <v/>
      </c>
    </row>
    <row r="54" ht="20" customHeight="1">
      <c r="A54" s="3" t="inlineStr">
        <is>
          <t>RÉSULTATS</t>
        </is>
      </c>
      <c r="B54" s="4" t="n"/>
    </row>
    <row r="55">
      <c r="A55" s="5" t="inlineStr">
        <is>
          <t>Somme des VA des FCF (M)</t>
        </is>
      </c>
      <c r="B55" s="73">
        <f>SUM(B48:F48)</f>
        <v/>
      </c>
    </row>
    <row r="56">
      <c r="A56" s="5" t="inlineStr">
        <is>
          <t>VA de la valeur terminale (M)</t>
        </is>
      </c>
      <c r="B56" s="73">
        <f>B52</f>
        <v/>
      </c>
    </row>
    <row r="57">
      <c r="A57" s="7" t="inlineStr">
        <is>
          <t>Valeur d'entreprise — VE (M)</t>
        </is>
      </c>
      <c r="B57" s="64">
        <f>B55+B56</f>
        <v/>
      </c>
    </row>
    <row r="58">
      <c r="A58" s="5" t="inlineStr">
        <is>
          <t>Dette nette (M)</t>
        </is>
      </c>
      <c r="B58" s="73">
        <f>B11</f>
        <v/>
      </c>
    </row>
    <row r="59">
      <c r="A59" s="7" t="inlineStr">
        <is>
          <t>Valeur des capitaux propres (M)</t>
        </is>
      </c>
      <c r="B59" s="64">
        <f>B57-B58</f>
        <v/>
      </c>
    </row>
    <row r="60">
      <c r="A60" s="5" t="inlineStr">
        <is>
          <t>Nombre d'actions (M)</t>
        </is>
      </c>
      <c r="B60" s="74">
        <f>B12</f>
        <v/>
      </c>
    </row>
    <row r="61">
      <c r="A61" s="7" t="inlineStr">
        <is>
          <t>Valeur par action (DCF)</t>
        </is>
      </c>
      <c r="B61" s="75">
        <f>B59/B60</f>
        <v/>
      </c>
    </row>
    <row r="62">
      <c r="A62" s="5" t="inlineStr">
        <is>
          <t>Prix de marché actuel</t>
        </is>
      </c>
      <c r="B62" s="76" t="n">
        <v>90.81999999999999</v>
      </c>
    </row>
    <row r="63">
      <c r="A63" s="35" t="inlineStr">
        <is>
          <t>Ratio DCF / marché</t>
        </is>
      </c>
      <c r="B63" s="77">
        <f>B61/B62</f>
        <v/>
      </c>
    </row>
  </sheetData>
  <mergeCells count="7">
    <mergeCell ref="A54:B54"/>
    <mergeCell ref="A36:F36"/>
    <mergeCell ref="A50:B50"/>
    <mergeCell ref="A23:E23"/>
    <mergeCell ref="A17:B17"/>
    <mergeCell ref="A29:F2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Sensibilité — Valeur par action (scénario actif)</t>
        </is>
      </c>
    </row>
    <row r="2">
      <c r="A2" s="2" t="inlineStr">
        <is>
          <t>Recalculée par formule à partir de la feuille DCF - Modèle : toute modification des FCF ou du scénario actif s'y répercute automatiquement.</t>
        </is>
      </c>
    </row>
    <row r="3">
      <c r="A3" s="78" t="inlineStr">
        <is>
          <t>WACC \ g</t>
        </is>
      </c>
      <c r="B3" s="79" t="n">
        <v>0.01</v>
      </c>
      <c r="C3" s="79" t="n">
        <v>0.015</v>
      </c>
      <c r="D3" s="79" t="n">
        <v>0.02</v>
      </c>
      <c r="E3" s="79" t="n">
        <v>0.025</v>
      </c>
      <c r="F3" s="79" t="n">
        <v>0.03</v>
      </c>
    </row>
    <row r="4">
      <c r="A4" s="80" t="n">
        <v>0.0549</v>
      </c>
      <c r="B4" s="81">
        <f>IFERROR((SUMPRODUCT('DCF - Modèle'!$B$45:$F$45,1/(1+$A4)^'DCF - Modèle'!$B$46:$F$46)+('DCF - Modèle'!$F$45*(1+B$3))/($A4-B$3)/(1+$A4)^'DCF - Modèle'!$F$46-'DCF - Modèle'!$B$11)/'DCF - Modèle'!$B$12,"n/a")</f>
        <v/>
      </c>
      <c r="C4" s="81">
        <f>IFERROR((SUMPRODUCT('DCF - Modèle'!$B$45:$F$45,1/(1+$A4)^'DCF - Modèle'!$B$46:$F$46)+('DCF - Modèle'!$F$45*(1+C$3))/($A4-C$3)/(1+$A4)^'DCF - Modèle'!$F$46-'DCF - Modèle'!$B$11)/'DCF - Modèle'!$B$12,"n/a")</f>
        <v/>
      </c>
      <c r="D4" s="81">
        <f>IFERROR((SUMPRODUCT('DCF - Modèle'!$B$45:$F$45,1/(1+$A4)^'DCF - Modèle'!$B$46:$F$46)+('DCF - Modèle'!$F$45*(1+D$3))/($A4-D$3)/(1+$A4)^'DCF - Modèle'!$F$46-'DCF - Modèle'!$B$11)/'DCF - Modèle'!$B$12,"n/a")</f>
        <v/>
      </c>
      <c r="E4" s="81">
        <f>IFERROR((SUMPRODUCT('DCF - Modèle'!$B$45:$F$45,1/(1+$A4)^'DCF - Modèle'!$B$46:$F$46)+('DCF - Modèle'!$F$45*(1+E$3))/($A4-E$3)/(1+$A4)^'DCF - Modèle'!$F$46-'DCF - Modèle'!$B$11)/'DCF - Modèle'!$B$12,"n/a")</f>
        <v/>
      </c>
      <c r="F4" s="81">
        <f>IFERROR((SUMPRODUCT('DCF - Modèle'!$B$45:$F$45,1/(1+$A4)^'DCF - Modèle'!$B$46:$F$46)+('DCF - Modèle'!$F$45*(1+F$3))/($A4-F$3)/(1+$A4)^'DCF - Modèle'!$F$46-'DCF - Modèle'!$B$11)/'DCF - Modèle'!$B$12,"n/a")</f>
        <v/>
      </c>
    </row>
    <row r="5">
      <c r="A5" s="80" t="n">
        <v>0.0649</v>
      </c>
      <c r="B5" s="81">
        <f>IFERROR((SUMPRODUCT('DCF - Modèle'!$B$45:$F$45,1/(1+$A5)^'DCF - Modèle'!$B$46:$F$46)+('DCF - Modèle'!$F$45*(1+B$3))/($A5-B$3)/(1+$A5)^'DCF - Modèle'!$F$46-'DCF - Modèle'!$B$11)/'DCF - Modèle'!$B$12,"n/a")</f>
        <v/>
      </c>
      <c r="C5" s="81">
        <f>IFERROR((SUMPRODUCT('DCF - Modèle'!$B$45:$F$45,1/(1+$A5)^'DCF - Modèle'!$B$46:$F$46)+('DCF - Modèle'!$F$45*(1+C$3))/($A5-C$3)/(1+$A5)^'DCF - Modèle'!$F$46-'DCF - Modèle'!$B$11)/'DCF - Modèle'!$B$12,"n/a")</f>
        <v/>
      </c>
      <c r="D5" s="81">
        <f>IFERROR((SUMPRODUCT('DCF - Modèle'!$B$45:$F$45,1/(1+$A5)^'DCF - Modèle'!$B$46:$F$46)+('DCF - Modèle'!$F$45*(1+D$3))/($A5-D$3)/(1+$A5)^'DCF - Modèle'!$F$46-'DCF - Modèle'!$B$11)/'DCF - Modèle'!$B$12,"n/a")</f>
        <v/>
      </c>
      <c r="E5" s="81">
        <f>IFERROR((SUMPRODUCT('DCF - Modèle'!$B$45:$F$45,1/(1+$A5)^'DCF - Modèle'!$B$46:$F$46)+('DCF - Modèle'!$F$45*(1+E$3))/($A5-E$3)/(1+$A5)^'DCF - Modèle'!$F$46-'DCF - Modèle'!$B$11)/'DCF - Modèle'!$B$12,"n/a")</f>
        <v/>
      </c>
      <c r="F5" s="81">
        <f>IFERROR((SUMPRODUCT('DCF - Modèle'!$B$45:$F$45,1/(1+$A5)^'DCF - Modèle'!$B$46:$F$46)+('DCF - Modèle'!$F$45*(1+F$3))/($A5-F$3)/(1+$A5)^'DCF - Modèle'!$F$46-'DCF - Modèle'!$B$11)/'DCF - Modèle'!$B$12,"n/a")</f>
        <v/>
      </c>
    </row>
    <row r="6">
      <c r="A6" s="80" t="n">
        <v>0.07489999999999999</v>
      </c>
      <c r="B6" s="81">
        <f>IFERROR((SUMPRODUCT('DCF - Modèle'!$B$45:$F$45,1/(1+$A6)^'DCF - Modèle'!$B$46:$F$46)+('DCF - Modèle'!$F$45*(1+B$3))/($A6-B$3)/(1+$A6)^'DCF - Modèle'!$F$46-'DCF - Modèle'!$B$11)/'DCF - Modèle'!$B$12,"n/a")</f>
        <v/>
      </c>
      <c r="C6" s="81">
        <f>IFERROR((SUMPRODUCT('DCF - Modèle'!$B$45:$F$45,1/(1+$A6)^'DCF - Modèle'!$B$46:$F$46)+('DCF - Modèle'!$F$45*(1+C$3))/($A6-C$3)/(1+$A6)^'DCF - Modèle'!$F$46-'DCF - Modèle'!$B$11)/'DCF - Modèle'!$B$12,"n/a")</f>
        <v/>
      </c>
      <c r="D6" s="81">
        <f>IFERROR((SUMPRODUCT('DCF - Modèle'!$B$45:$F$45,1/(1+$A6)^'DCF - Modèle'!$B$46:$F$46)+('DCF - Modèle'!$F$45*(1+D$3))/($A6-D$3)/(1+$A6)^'DCF - Modèle'!$F$46-'DCF - Modèle'!$B$11)/'DCF - Modèle'!$B$12,"n/a")</f>
        <v/>
      </c>
      <c r="E6" s="81">
        <f>IFERROR((SUMPRODUCT('DCF - Modèle'!$B$45:$F$45,1/(1+$A6)^'DCF - Modèle'!$B$46:$F$46)+('DCF - Modèle'!$F$45*(1+E$3))/($A6-E$3)/(1+$A6)^'DCF - Modèle'!$F$46-'DCF - Modèle'!$B$11)/'DCF - Modèle'!$B$12,"n/a")</f>
        <v/>
      </c>
      <c r="F6" s="81">
        <f>IFERROR((SUMPRODUCT('DCF - Modèle'!$B$45:$F$45,1/(1+$A6)^'DCF - Modèle'!$B$46:$F$46)+('DCF - Modèle'!$F$45*(1+F$3))/($A6-F$3)/(1+$A6)^'DCF - Modèle'!$F$46-'DCF - Modèle'!$B$11)/'DCF - Modèle'!$B$12,"n/a")</f>
        <v/>
      </c>
    </row>
    <row r="7">
      <c r="A7" s="80" t="n">
        <v>0.0849</v>
      </c>
      <c r="B7" s="81">
        <f>IFERROR((SUMPRODUCT('DCF - Modèle'!$B$45:$F$45,1/(1+$A7)^'DCF - Modèle'!$B$46:$F$46)+('DCF - Modèle'!$F$45*(1+B$3))/($A7-B$3)/(1+$A7)^'DCF - Modèle'!$F$46-'DCF - Modèle'!$B$11)/'DCF - Modèle'!$B$12,"n/a")</f>
        <v/>
      </c>
      <c r="C7" s="81">
        <f>IFERROR((SUMPRODUCT('DCF - Modèle'!$B$45:$F$45,1/(1+$A7)^'DCF - Modèle'!$B$46:$F$46)+('DCF - Modèle'!$F$45*(1+C$3))/($A7-C$3)/(1+$A7)^'DCF - Modèle'!$F$46-'DCF - Modèle'!$B$11)/'DCF - Modèle'!$B$12,"n/a")</f>
        <v/>
      </c>
      <c r="D7" s="81">
        <f>IFERROR((SUMPRODUCT('DCF - Modèle'!$B$45:$F$45,1/(1+$A7)^'DCF - Modèle'!$B$46:$F$46)+('DCF - Modèle'!$F$45*(1+D$3))/($A7-D$3)/(1+$A7)^'DCF - Modèle'!$F$46-'DCF - Modèle'!$B$11)/'DCF - Modèle'!$B$12,"n/a")</f>
        <v/>
      </c>
      <c r="E7" s="81">
        <f>IFERROR((SUMPRODUCT('DCF - Modèle'!$B$45:$F$45,1/(1+$A7)^'DCF - Modèle'!$B$46:$F$46)+('DCF - Modèle'!$F$45*(1+E$3))/($A7-E$3)/(1+$A7)^'DCF - Modèle'!$F$46-'DCF - Modèle'!$B$11)/'DCF - Modèle'!$B$12,"n/a")</f>
        <v/>
      </c>
      <c r="F7" s="81">
        <f>IFERROR((SUMPRODUCT('DCF - Modèle'!$B$45:$F$45,1/(1+$A7)^'DCF - Modèle'!$B$46:$F$46)+('DCF - Modèle'!$F$45*(1+F$3))/($A7-F$3)/(1+$A7)^'DCF - Modèle'!$F$46-'DCF - Modèle'!$B$11)/'DCF - Modèle'!$B$12,"n/a")</f>
        <v/>
      </c>
    </row>
    <row r="8">
      <c r="A8" s="80" t="n">
        <v>0.0949</v>
      </c>
      <c r="B8" s="81">
        <f>IFERROR((SUMPRODUCT('DCF - Modèle'!$B$45:$F$45,1/(1+$A8)^'DCF - Modèle'!$B$46:$F$46)+('DCF - Modèle'!$F$45*(1+B$3))/($A8-B$3)/(1+$A8)^'DCF - Modèle'!$F$46-'DCF - Modèle'!$B$11)/'DCF - Modèle'!$B$12,"n/a")</f>
        <v/>
      </c>
      <c r="C8" s="81">
        <f>IFERROR((SUMPRODUCT('DCF - Modèle'!$B$45:$F$45,1/(1+$A8)^'DCF - Modèle'!$B$46:$F$46)+('DCF - Modèle'!$F$45*(1+C$3))/($A8-C$3)/(1+$A8)^'DCF - Modèle'!$F$46-'DCF - Modèle'!$B$11)/'DCF - Modèle'!$B$12,"n/a")</f>
        <v/>
      </c>
      <c r="D8" s="81">
        <f>IFERROR((SUMPRODUCT('DCF - Modèle'!$B$45:$F$45,1/(1+$A8)^'DCF - Modèle'!$B$46:$F$46)+('DCF - Modèle'!$F$45*(1+D$3))/($A8-D$3)/(1+$A8)^'DCF - Modèle'!$F$46-'DCF - Modèle'!$B$11)/'DCF - Modèle'!$B$12,"n/a")</f>
        <v/>
      </c>
      <c r="E8" s="81">
        <f>IFERROR((SUMPRODUCT('DCF - Modèle'!$B$45:$F$45,1/(1+$A8)^'DCF - Modèle'!$B$46:$F$46)+('DCF - Modèle'!$F$45*(1+E$3))/($A8-E$3)/(1+$A8)^'DCF - Modèle'!$F$46-'DCF - Modèle'!$B$11)/'DCF - Modèle'!$B$12,"n/a")</f>
        <v/>
      </c>
      <c r="F8" s="81">
        <f>IFERROR((SUMPRODUCT('DCF - Modèle'!$B$45:$F$45,1/(1+$A8)^'DCF - Modèle'!$B$46:$F$46)+('DCF - Modèle'!$F$45*(1+F$3))/($A8-F$3)/(1+$A8)^'DCF - Modèle'!$F$46-'DCF - Modèle'!$B$11)/'DCF - Modèle'!$B$12,"n/a")</f>
        <v/>
      </c>
    </row>
  </sheetData>
  <conditionalFormatting sqref="B4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3" customWidth="1" min="2" max="2"/>
    <col width="16" customWidth="1" min="3" max="3"/>
    <col width="15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Comparables boursiers</t>
        </is>
      </c>
    </row>
    <row r="2"/>
    <row r="3">
      <c r="A3" s="78" t="inlineStr">
        <is>
          <t>Ticker</t>
        </is>
      </c>
      <c r="B3" s="78" t="inlineStr">
        <is>
          <t>Nom</t>
        </is>
      </c>
      <c r="C3" s="78" t="inlineStr">
        <is>
          <t>Market Cap (M)</t>
        </is>
      </c>
      <c r="D3" s="78" t="inlineStr">
        <is>
          <t>EV (M)</t>
        </is>
      </c>
      <c r="E3" s="78" t="inlineStr">
        <is>
          <t>P/E</t>
        </is>
      </c>
      <c r="F3" s="78" t="inlineStr">
        <is>
          <t>Fwd P/E</t>
        </is>
      </c>
      <c r="G3" s="78" t="inlineStr">
        <is>
          <t>EV/EBITDA</t>
        </is>
      </c>
      <c r="H3" s="78" t="inlineStr">
        <is>
          <t>EV/Sales</t>
        </is>
      </c>
    </row>
    <row r="4">
      <c r="A4" s="82" t="inlineStr">
        <is>
          <t>XOM</t>
        </is>
      </c>
      <c r="B4" s="83" t="inlineStr">
        <is>
          <t>ExxonMobil Holdings Corporation</t>
        </is>
      </c>
      <c r="C4" s="84" t="n">
        <v>672462.077952</v>
      </c>
      <c r="D4" s="84" t="n">
        <v>710973.063168</v>
      </c>
      <c r="E4" s="85" t="n">
        <v>21.047619</v>
      </c>
      <c r="F4" s="85" t="n">
        <v>15.155684</v>
      </c>
      <c r="G4" s="85" t="n">
        <v>10.465</v>
      </c>
      <c r="H4" s="85" t="n">
        <v>1.969</v>
      </c>
    </row>
    <row r="5">
      <c r="A5" s="82" t="inlineStr">
        <is>
          <t>CVX</t>
        </is>
      </c>
      <c r="B5" s="83" t="inlineStr">
        <is>
          <t>Chevron Corporation</t>
        </is>
      </c>
      <c r="C5" s="84" t="n">
        <v>410975.502336</v>
      </c>
      <c r="D5" s="84" t="n">
        <v>445195.517952</v>
      </c>
      <c r="E5" s="85" t="n">
        <v>20.16458</v>
      </c>
      <c r="F5" s="85" t="n">
        <v>15.447548</v>
      </c>
      <c r="G5" s="85" t="n">
        <v>8.788</v>
      </c>
      <c r="H5" s="85" t="n">
        <v>2.126</v>
      </c>
    </row>
    <row r="6">
      <c r="A6" s="82" t="inlineStr">
        <is>
          <t>SHEL</t>
        </is>
      </c>
      <c r="B6" s="83" t="inlineStr">
        <is>
          <t>Shell PLC</t>
        </is>
      </c>
      <c r="C6" s="84" t="n">
        <v>269986.2016</v>
      </c>
      <c r="D6" s="84" t="n">
        <v>306034.76992</v>
      </c>
      <c r="E6" s="85" t="n">
        <v>10.457965</v>
      </c>
      <c r="F6" s="85" t="n">
        <v>9.126954</v>
      </c>
      <c r="G6" s="85" t="n">
        <v>5.313</v>
      </c>
      <c r="H6" s="85" t="n">
        <v>1.032</v>
      </c>
    </row>
    <row r="7">
      <c r="A7" s="82" t="inlineStr">
        <is>
          <t>BP</t>
        </is>
      </c>
      <c r="B7" s="83" t="inlineStr">
        <is>
          <t>BP p.l.c.</t>
        </is>
      </c>
      <c r="C7" s="84" t="n">
        <v>114811.53536</v>
      </c>
      <c r="D7" s="84" t="n">
        <v>514780.758016</v>
      </c>
      <c r="E7" s="85" t="n">
        <v>21.228573</v>
      </c>
      <c r="F7" s="85" t="n">
        <v>9.129875999999999</v>
      </c>
      <c r="G7" s="85" t="n">
        <v>13.133</v>
      </c>
      <c r="H7" s="85" t="n">
        <v>2.389</v>
      </c>
    </row>
    <row r="8">
      <c r="A8" s="82" t="inlineStr">
        <is>
          <t>E</t>
        </is>
      </c>
      <c r="B8" s="83" t="inlineStr">
        <is>
          <t>ENI S.p.A.</t>
        </is>
      </c>
      <c r="C8" s="84" t="n">
        <v>78428.29107200001</v>
      </c>
      <c r="D8" s="84" t="n">
        <v>106423.574528</v>
      </c>
      <c r="E8" s="85" t="n">
        <v>12.413636</v>
      </c>
      <c r="F8" s="85" t="n">
        <v>8.774311000000001</v>
      </c>
      <c r="G8" s="85" t="n">
        <v>8.039999999999999</v>
      </c>
      <c r="H8" s="85" t="n">
        <v>1.183</v>
      </c>
    </row>
    <row r="9">
      <c r="A9" s="82" t="inlineStr">
        <is>
          <t>COP</t>
        </is>
      </c>
      <c r="B9" s="83" t="inlineStr">
        <is>
          <t>ConocoPhillips</t>
        </is>
      </c>
      <c r="C9" s="84" t="n">
        <v>158372.315136</v>
      </c>
      <c r="D9" s="84" t="n">
        <v>173970.325504</v>
      </c>
      <c r="E9" s="85" t="n">
        <v>17.460926</v>
      </c>
      <c r="F9" s="85" t="n">
        <v>13.706977</v>
      </c>
      <c r="G9" s="85" t="n">
        <v>6.496</v>
      </c>
      <c r="H9" s="85" t="n">
        <v>2.699</v>
      </c>
    </row>
    <row r="10">
      <c r="A10" s="82" t="inlineStr">
        <is>
          <t>EQNR</t>
        </is>
      </c>
      <c r="B10" s="83" t="inlineStr">
        <is>
          <t>Equinor ASA</t>
        </is>
      </c>
      <c r="C10" s="84" t="n">
        <v>104535.195648</v>
      </c>
      <c r="D10" s="84" t="n">
        <v>223127.584768</v>
      </c>
      <c r="E10" s="85" t="n">
        <v>11.948509</v>
      </c>
      <c r="F10" s="85" t="n">
        <v>10.725015</v>
      </c>
      <c r="G10" s="85" t="n">
        <v>5.329</v>
      </c>
      <c r="H10" s="85" t="n">
        <v>1.963</v>
      </c>
    </row>
    <row r="11"/>
    <row r="12">
      <c r="A12" s="2" t="inlineStr">
        <is>
          <t>Source : yfinance, données de marché à la date d'exécution du script.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9" customWidth="1" min="4" max="4"/>
  </cols>
  <sheetData>
    <row r="1">
      <c r="A1" s="1" t="inlineStr">
        <is>
          <t>Valorisation par comparables</t>
        </is>
      </c>
    </row>
    <row r="2"/>
    <row r="3">
      <c r="A3" s="86" t="inlineStr">
        <is>
          <t>Métriques de la cible (M)</t>
        </is>
      </c>
    </row>
    <row r="4">
      <c r="A4" s="83" t="inlineStr">
        <is>
          <t>Revenue (M)</t>
        </is>
      </c>
      <c r="B4" s="87" t="n">
        <v>182344</v>
      </c>
    </row>
    <row r="5">
      <c r="A5" s="83" t="inlineStr">
        <is>
          <t>EBITDA (M)</t>
        </is>
      </c>
      <c r="B5" s="87" t="n">
        <v>38854</v>
      </c>
    </row>
    <row r="6">
      <c r="A6" s="83" t="inlineStr">
        <is>
          <t>Net income (M)</t>
        </is>
      </c>
      <c r="B6" s="87" t="n">
        <v>13127</v>
      </c>
    </row>
    <row r="7"/>
    <row r="8">
      <c r="A8" s="83" t="inlineStr">
        <is>
          <t>Dette nette (M)</t>
        </is>
      </c>
      <c r="B8" s="88">
        <f>'DCF - Modèle'!$B$11</f>
        <v/>
      </c>
    </row>
    <row r="9">
      <c r="A9" s="83" t="inlineStr">
        <is>
          <t>Actions en circulation (M)</t>
        </is>
      </c>
      <c r="B9" s="89">
        <f>'DCF - Modèle'!$B$12</f>
        <v/>
      </c>
    </row>
    <row r="10"/>
    <row r="11"/>
    <row r="12">
      <c r="A12" s="78" t="inlineStr">
        <is>
          <t>Méthode</t>
        </is>
      </c>
      <c r="B12" s="78" t="inlineStr">
        <is>
          <t>Multiple médian peers</t>
        </is>
      </c>
      <c r="C12" s="78" t="inlineStr">
        <is>
          <t>Valeur implicite (M)</t>
        </is>
      </c>
      <c r="D12" s="78" t="inlineStr">
        <is>
          <t>Valeur par action implicite</t>
        </is>
      </c>
    </row>
    <row r="13">
      <c r="A13" s="82" t="inlineStr">
        <is>
          <t>EV/EBITDA</t>
        </is>
      </c>
      <c r="B13" s="85">
        <f>MEDIAN('Comps - Peers'!G:G)</f>
        <v/>
      </c>
      <c r="C13" s="84">
        <f>B13*$B$5</f>
        <v/>
      </c>
      <c r="D13" s="81">
        <f>(C13-$B$8)/$B$9</f>
        <v/>
      </c>
    </row>
    <row r="14">
      <c r="A14" s="82" t="inlineStr">
        <is>
          <t>EV/Sales</t>
        </is>
      </c>
      <c r="B14" s="85">
        <f>MEDIAN('Comps - Peers'!H:H)</f>
        <v/>
      </c>
      <c r="C14" s="84">
        <f>B14*$B$4</f>
        <v/>
      </c>
      <c r="D14" s="81">
        <f>(C14-$B$8)/$B$9</f>
        <v/>
      </c>
    </row>
    <row r="15">
      <c r="A15" s="82" t="inlineStr">
        <is>
          <t>P/E</t>
        </is>
      </c>
      <c r="B15" s="85">
        <f>MEDIAN('Comps - Peers'!E:E)</f>
        <v/>
      </c>
      <c r="C15" s="84">
        <f>B15*$B$6</f>
        <v/>
      </c>
      <c r="D15" s="81">
        <f>C15/$B$9</f>
        <v/>
      </c>
    </row>
    <row r="16">
      <c r="A16" s="82" t="inlineStr">
        <is>
          <t>Moyenne des méthodes</t>
        </is>
      </c>
      <c r="D16" s="90">
        <f>AVERAGE(D13:D15)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0" customWidth="1" min="3" max="3"/>
    <col width="20" customWidth="1" min="4" max="4"/>
  </cols>
  <sheetData>
    <row r="1">
      <c r="A1" s="1" t="inlineStr">
        <is>
          <t>Football Field — Fourchettes de valorisation</t>
        </is>
      </c>
    </row>
    <row r="2">
      <c r="A2" s="2" t="inlineStr">
        <is>
          <t>Snapshot calculé à la génération du script à partir des scénarios Bear/Bull du DCF, du min-max des comparables et du range 52 semaines.</t>
        </is>
      </c>
    </row>
    <row r="3"/>
    <row r="4">
      <c r="A4" s="78" t="inlineStr">
        <is>
          <t>Méthode</t>
        </is>
      </c>
      <c r="B4" s="78" t="inlineStr">
        <is>
          <t>Low</t>
        </is>
      </c>
      <c r="C4" s="78" t="inlineStr">
        <is>
          <t>Range</t>
        </is>
      </c>
      <c r="D4" s="78" t="inlineStr">
        <is>
          <t>High</t>
        </is>
      </c>
    </row>
    <row r="5">
      <c r="A5" s="82" t="inlineStr">
        <is>
          <t>DCF (Bear-Bull)</t>
        </is>
      </c>
      <c r="B5" s="81" t="n">
        <v>47.64492080680372</v>
      </c>
      <c r="C5" s="81">
        <f>D5-B5</f>
        <v/>
      </c>
      <c r="D5" s="81" t="n">
        <v>141.7810871452604</v>
      </c>
    </row>
    <row r="6">
      <c r="A6" s="82" t="inlineStr">
        <is>
          <t>Comparables (min-max)</t>
        </is>
      </c>
      <c r="B6" s="81" t="n">
        <v>103.7600495193315</v>
      </c>
      <c r="C6" s="81">
        <f>D6-B6</f>
        <v/>
      </c>
      <c r="D6" s="81" t="n">
        <v>146.2703594987696</v>
      </c>
    </row>
    <row r="7">
      <c r="A7" s="82" t="inlineStr">
        <is>
          <t>52 semaines (marché)</t>
        </is>
      </c>
      <c r="B7" s="81" t="n">
        <v>57.39</v>
      </c>
      <c r="C7" s="81">
        <f>D7-B7</f>
        <v/>
      </c>
      <c r="D7" s="81" t="n">
        <v>94.17</v>
      </c>
    </row>
    <row r="8">
      <c r="A8" s="82" t="inlineStr">
        <is>
          <t>Prix de marché actuel</t>
        </is>
      </c>
      <c r="B8" s="81" t="n">
        <v>90.31999999999999</v>
      </c>
      <c r="C8" s="81">
        <f>D8-B8</f>
        <v/>
      </c>
      <c r="D8" s="81" t="n">
        <v>91.31999999999999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23" customWidth="1" min="3" max="3"/>
    <col width="13" customWidth="1" min="4" max="4"/>
    <col width="24" customWidth="1" min="5" max="5"/>
  </cols>
  <sheetData>
    <row r="1">
      <c r="A1" s="1" t="inlineStr">
        <is>
          <t>Compte de résultat — en millions USD</t>
        </is>
      </c>
    </row>
    <row r="2"/>
    <row r="3">
      <c r="A3" s="78" t="inlineStr">
        <is>
          <t>Poste</t>
        </is>
      </c>
      <c r="B3" s="78" t="inlineStr">
        <is>
          <t>2022</t>
        </is>
      </c>
      <c r="C3" s="78" t="inlineStr">
        <is>
          <t>2023</t>
        </is>
      </c>
      <c r="D3" s="78" t="inlineStr">
        <is>
          <t>2024</t>
        </is>
      </c>
      <c r="E3" s="78" t="inlineStr">
        <is>
          <t>2025</t>
        </is>
      </c>
    </row>
    <row r="4">
      <c r="A4" s="82" t="inlineStr">
        <is>
          <t>Tax Effect Of Unusual Items</t>
        </is>
      </c>
      <c r="B4" s="91" t="n">
        <v>-213.5</v>
      </c>
      <c r="C4" s="91" t="n">
        <v>931.922064864554</v>
      </c>
      <c r="D4" s="91" t="n">
        <v>380.75</v>
      </c>
      <c r="E4" s="91" t="n">
        <v>437.5</v>
      </c>
    </row>
    <row r="5">
      <c r="A5" s="82" t="inlineStr">
        <is>
          <t>Tax Rate For Calcs</t>
        </is>
      </c>
      <c r="B5" s="91" t="n">
        <v>2.5e-07</v>
      </c>
      <c r="C5" s="91" t="n">
        <v>3.82092e-07</v>
      </c>
      <c r="D5" s="91" t="n">
        <v>2.5e-07</v>
      </c>
      <c r="E5" s="91" t="n">
        <v>2.5e-07</v>
      </c>
    </row>
    <row r="6">
      <c r="A6" s="82" t="inlineStr">
        <is>
          <t>Normalized EBITDA</t>
        </is>
      </c>
      <c r="B6" s="91" t="n">
        <v>59896</v>
      </c>
      <c r="C6" s="91" t="n">
        <v>48343</v>
      </c>
      <c r="D6" s="91" t="n">
        <v>40754</v>
      </c>
      <c r="E6" s="91" t="n">
        <v>37104</v>
      </c>
    </row>
    <row r="7">
      <c r="A7" s="82" t="inlineStr">
        <is>
          <t>Total Unusual Items</t>
        </is>
      </c>
      <c r="B7" s="91" t="n">
        <v>-854</v>
      </c>
      <c r="C7" s="91" t="n">
        <v>2439</v>
      </c>
      <c r="D7" s="91" t="n">
        <v>1523</v>
      </c>
      <c r="E7" s="91" t="n">
        <v>1750</v>
      </c>
    </row>
    <row r="8">
      <c r="A8" s="82" t="inlineStr">
        <is>
          <t>Total Unusual Items Excluding Goodwill</t>
        </is>
      </c>
      <c r="B8" s="91" t="n">
        <v>-854</v>
      </c>
      <c r="C8" s="91" t="n">
        <v>2439</v>
      </c>
      <c r="D8" s="91" t="n">
        <v>1523</v>
      </c>
      <c r="E8" s="91" t="n">
        <v>1750</v>
      </c>
    </row>
    <row r="9">
      <c r="A9" s="82" t="inlineStr">
        <is>
          <t>Net Income From Continuing Operation Net Minority Interest</t>
        </is>
      </c>
      <c r="B9" s="91" t="n">
        <v>20526</v>
      </c>
      <c r="C9" s="91" t="n">
        <v>21384</v>
      </c>
      <c r="D9" s="91" t="n">
        <v>15758</v>
      </c>
      <c r="E9" s="91" t="n">
        <v>13127</v>
      </c>
    </row>
    <row r="10">
      <c r="A10" s="82" t="inlineStr">
        <is>
          <t>Reconciled Depreciation</t>
        </is>
      </c>
      <c r="B10" s="91" t="n">
        <v>13680</v>
      </c>
      <c r="C10" s="91" t="n">
        <v>13818</v>
      </c>
      <c r="D10" s="91" t="n">
        <v>13107</v>
      </c>
      <c r="E10" s="91" t="n">
        <v>13847</v>
      </c>
    </row>
    <row r="11">
      <c r="A11" s="82" t="inlineStr">
        <is>
          <t>Reconciled Cost Of Revenue</t>
        </is>
      </c>
      <c r="B11" s="91" t="n">
        <v>182099</v>
      </c>
      <c r="C11" s="91" t="n">
        <v>156572</v>
      </c>
      <c r="D11" s="91" t="n">
        <v>140078</v>
      </c>
      <c r="E11" s="91" t="n">
        <v>130497</v>
      </c>
    </row>
    <row r="12">
      <c r="A12" s="82" t="inlineStr">
        <is>
          <t>EBITDA</t>
        </is>
      </c>
      <c r="B12" s="91" t="n">
        <v>59042</v>
      </c>
      <c r="C12" s="91" t="n">
        <v>50782</v>
      </c>
      <c r="D12" s="91" t="n">
        <v>42277</v>
      </c>
      <c r="E12" s="91" t="n">
        <v>38854</v>
      </c>
    </row>
    <row r="13">
      <c r="A13" s="82" t="inlineStr">
        <is>
          <t>EBIT</t>
        </is>
      </c>
      <c r="B13" s="91" t="n">
        <v>45362</v>
      </c>
      <c r="C13" s="91" t="n">
        <v>36964</v>
      </c>
      <c r="D13" s="91" t="n">
        <v>29170</v>
      </c>
      <c r="E13" s="91" t="n">
        <v>25007</v>
      </c>
    </row>
    <row r="14">
      <c r="A14" s="82" t="inlineStr">
        <is>
          <t>Net Interest Income</t>
        </is>
      </c>
      <c r="B14" s="91" t="n">
        <v>-609</v>
      </c>
      <c r="C14" s="91" t="n">
        <v>-84</v>
      </c>
      <c r="D14" s="91" t="n">
        <v>-290</v>
      </c>
      <c r="E14" s="91" t="n">
        <v>-1127</v>
      </c>
    </row>
    <row r="15">
      <c r="A15" s="82" t="inlineStr">
        <is>
          <t>Interest Expense</t>
        </is>
      </c>
      <c r="B15" s="91" t="n">
        <v>2076</v>
      </c>
      <c r="C15" s="91" t="n">
        <v>2153</v>
      </c>
      <c r="D15" s="91" t="n">
        <v>2364</v>
      </c>
      <c r="E15" s="91" t="n">
        <v>2558</v>
      </c>
    </row>
    <row r="16">
      <c r="A16" s="82" t="inlineStr">
        <is>
          <t>Interest Income</t>
        </is>
      </c>
      <c r="B16" s="91" t="n">
        <v>1143</v>
      </c>
      <c r="C16" s="91" t="n">
        <v>1801</v>
      </c>
      <c r="D16" s="91" t="n">
        <v>1786</v>
      </c>
      <c r="E16" s="91" t="n">
        <v>1115</v>
      </c>
    </row>
    <row r="17">
      <c r="A17" s="82" t="inlineStr">
        <is>
          <t>Normalized Income</t>
        </is>
      </c>
      <c r="B17" s="91" t="n">
        <v>21166.5</v>
      </c>
      <c r="C17" s="91" t="n">
        <v>19876.92206486456</v>
      </c>
      <c r="D17" s="91" t="n">
        <v>14615.75</v>
      </c>
      <c r="E17" s="91" t="n">
        <v>11814.5</v>
      </c>
    </row>
    <row r="18">
      <c r="A18" s="82" t="inlineStr">
        <is>
          <t>Net Income From Continuing And Discontinued Operation</t>
        </is>
      </c>
      <c r="B18" s="91" t="n">
        <v>20526</v>
      </c>
      <c r="C18" s="91" t="n">
        <v>21384</v>
      </c>
      <c r="D18" s="91" t="n">
        <v>15758</v>
      </c>
      <c r="E18" s="91" t="n">
        <v>13127</v>
      </c>
    </row>
    <row r="19">
      <c r="A19" s="82" t="inlineStr">
        <is>
          <t>Total Expenses</t>
        </is>
      </c>
      <c r="B19" s="91" t="n">
        <v>213617</v>
      </c>
      <c r="C19" s="91" t="n">
        <v>188088</v>
      </c>
      <c r="D19" s="91" t="n">
        <v>171505</v>
      </c>
      <c r="E19" s="91" t="n">
        <v>162419</v>
      </c>
    </row>
    <row r="20">
      <c r="A20" s="82" t="inlineStr">
        <is>
          <t>Diluted Average Shares</t>
        </is>
      </c>
      <c r="B20" s="91" t="n">
        <v>2594.94311</v>
      </c>
      <c r="C20" s="91" t="n">
        <v>2452.293578</v>
      </c>
      <c r="D20" s="91" t="n">
        <v>2337.982196</v>
      </c>
      <c r="E20" s="91" t="n">
        <v>2247.773973</v>
      </c>
    </row>
    <row r="21">
      <c r="A21" s="82" t="inlineStr">
        <is>
          <t>Basic Average Shares</t>
        </is>
      </c>
      <c r="B21" s="91" t="n">
        <v>2594.94311</v>
      </c>
      <c r="C21" s="91" t="n">
        <v>2452.293578</v>
      </c>
      <c r="D21" s="91" t="n">
        <v>2337.982196</v>
      </c>
      <c r="E21" s="91" t="n">
        <v>2247.773973</v>
      </c>
    </row>
    <row r="22">
      <c r="A22" s="82" t="inlineStr">
        <is>
          <t>Diluted EPS</t>
        </is>
      </c>
      <c r="B22" s="91" t="n">
        <v>7.849999999999999e-06</v>
      </c>
      <c r="C22" s="91" t="n">
        <v>8.67e-06</v>
      </c>
      <c r="D22" s="91" t="n">
        <v>6.69e-06</v>
      </c>
      <c r="E22" s="91" t="n">
        <v>5.780000000000001e-06</v>
      </c>
    </row>
    <row r="23">
      <c r="A23" s="82" t="inlineStr">
        <is>
          <t>Basic EPS</t>
        </is>
      </c>
      <c r="B23" s="91" t="n">
        <v>7.91e-06</v>
      </c>
      <c r="C23" s="91" t="n">
        <v>8.720000000000001e-06</v>
      </c>
      <c r="D23" s="91" t="n">
        <v>6.74e-06</v>
      </c>
      <c r="E23" s="91" t="n">
        <v>5.84e-06</v>
      </c>
    </row>
    <row r="24">
      <c r="A24" s="82" t="inlineStr">
        <is>
          <t>Diluted NI Availto Com Stockholders</t>
        </is>
      </c>
      <c r="B24" s="91" t="n">
        <v>20526</v>
      </c>
      <c r="C24" s="91" t="n">
        <v>21384</v>
      </c>
      <c r="D24" s="91" t="n">
        <v>15758</v>
      </c>
      <c r="E24" s="91" t="n">
        <v>13127</v>
      </c>
    </row>
    <row r="25">
      <c r="A25" s="82" t="inlineStr">
        <is>
          <t>Net Income Common Stockholders</t>
        </is>
      </c>
      <c r="B25" s="91" t="n">
        <v>20526</v>
      </c>
      <c r="C25" s="91" t="n">
        <v>21384</v>
      </c>
      <c r="D25" s="91" t="n">
        <v>15758</v>
      </c>
      <c r="E25" s="91" t="n">
        <v>13127</v>
      </c>
    </row>
    <row r="26">
      <c r="A26" s="82" t="inlineStr">
        <is>
          <t>Net Income</t>
        </is>
      </c>
      <c r="B26" s="91" t="n">
        <v>20526</v>
      </c>
      <c r="C26" s="91" t="n">
        <v>21384</v>
      </c>
      <c r="D26" s="91" t="n">
        <v>15758</v>
      </c>
      <c r="E26" s="91" t="n">
        <v>13127</v>
      </c>
    </row>
    <row r="27">
      <c r="A27" s="82" t="inlineStr">
        <is>
          <t>Minority Interests</t>
        </is>
      </c>
      <c r="B27" s="91" t="n">
        <v>-518</v>
      </c>
      <c r="C27" s="91" t="n">
        <v>-126</v>
      </c>
      <c r="D27" s="91" t="n">
        <v>-273</v>
      </c>
      <c r="E27" s="91" t="n">
        <v>-230</v>
      </c>
    </row>
    <row r="28">
      <c r="A28" s="82" t="inlineStr">
        <is>
          <t>Net Income Including Noncontrolling Interests</t>
        </is>
      </c>
      <c r="B28" s="91" t="n">
        <v>21044</v>
      </c>
      <c r="C28" s="91" t="n">
        <v>21510</v>
      </c>
      <c r="D28" s="91" t="n">
        <v>16031</v>
      </c>
      <c r="E28" s="91" t="n">
        <v>13357</v>
      </c>
    </row>
    <row r="29">
      <c r="A29" s="82" t="inlineStr">
        <is>
          <t>Net Income Continuous Operations</t>
        </is>
      </c>
      <c r="B29" s="91" t="n">
        <v>21044</v>
      </c>
      <c r="C29" s="91" t="n">
        <v>21510</v>
      </c>
      <c r="D29" s="91" t="n">
        <v>16031</v>
      </c>
      <c r="E29" s="91" t="n">
        <v>13357</v>
      </c>
    </row>
    <row r="30">
      <c r="A30" s="82" t="inlineStr">
        <is>
          <t>Tax Provision</t>
        </is>
      </c>
      <c r="B30" s="91" t="n">
        <v>22242</v>
      </c>
      <c r="C30" s="91" t="n">
        <v>13301</v>
      </c>
      <c r="D30" s="91" t="n">
        <v>10775</v>
      </c>
      <c r="E30" s="91" t="n">
        <v>9092</v>
      </c>
    </row>
    <row r="31">
      <c r="A31" s="82" t="inlineStr">
        <is>
          <t>Pretax Income</t>
        </is>
      </c>
      <c r="B31" s="91" t="n">
        <v>43286</v>
      </c>
      <c r="C31" s="91" t="n">
        <v>34811</v>
      </c>
      <c r="D31" s="91" t="n">
        <v>26806</v>
      </c>
      <c r="E31" s="91" t="n">
        <v>22449</v>
      </c>
    </row>
    <row r="32">
      <c r="A32" s="82" t="inlineStr">
        <is>
          <t>Other Income Expense</t>
        </is>
      </c>
      <c r="B32" s="91" t="n">
        <v>-5798</v>
      </c>
      <c r="C32" s="91" t="n">
        <v>4038</v>
      </c>
      <c r="D32" s="91" t="n">
        <v>2991</v>
      </c>
      <c r="E32" s="91" t="n">
        <v>3651</v>
      </c>
    </row>
    <row r="33">
      <c r="A33" s="82" t="inlineStr">
        <is>
          <t>Other Non Operating Income Expenses</t>
        </is>
      </c>
      <c r="B33" s="91" t="n">
        <v>-3052</v>
      </c>
      <c r="C33" s="91" t="n">
        <v>-246</v>
      </c>
      <c r="D33" s="91" t="n">
        <v>-107</v>
      </c>
      <c r="E33" s="91" t="n">
        <v>-652</v>
      </c>
    </row>
    <row r="34">
      <c r="A34" s="82" t="inlineStr">
        <is>
          <t>Special Income Charges</t>
        </is>
      </c>
      <c r="B34" s="91" t="n">
        <v>-369</v>
      </c>
      <c r="C34" s="91" t="n">
        <v>3059</v>
      </c>
      <c r="D34" s="91" t="n">
        <v>1497</v>
      </c>
      <c r="E34" s="91" t="n">
        <v>1568</v>
      </c>
    </row>
    <row r="35">
      <c r="A35" s="82" t="inlineStr">
        <is>
          <t>Gain On Sale Of Ppe</t>
        </is>
      </c>
      <c r="B35" s="91" t="n">
        <v>-369</v>
      </c>
      <c r="C35" s="91" t="n">
        <v>3059</v>
      </c>
      <c r="D35" s="91" t="n">
        <v>1497</v>
      </c>
      <c r="E35" s="91" t="n">
        <v>1568</v>
      </c>
    </row>
    <row r="36">
      <c r="A36" s="82" t="inlineStr">
        <is>
          <t>Earnings From Equity Interest</t>
        </is>
      </c>
      <c r="B36" s="91" t="n">
        <v>-1892</v>
      </c>
      <c r="C36" s="91" t="n">
        <v>1845</v>
      </c>
      <c r="D36" s="91" t="n">
        <v>1575</v>
      </c>
      <c r="E36" s="91" t="n">
        <v>2553</v>
      </c>
    </row>
    <row r="37">
      <c r="A37" s="82" t="inlineStr">
        <is>
          <t>Gain On Sale Of Security</t>
        </is>
      </c>
      <c r="B37" s="91" t="n">
        <v>-485</v>
      </c>
      <c r="C37" s="91" t="n">
        <v>-620</v>
      </c>
      <c r="D37" s="91" t="n">
        <v>26</v>
      </c>
      <c r="E37" s="91" t="n">
        <v>182</v>
      </c>
    </row>
    <row r="38">
      <c r="A38" s="82" t="inlineStr">
        <is>
          <t>Net Non Operating Interest Income Expense</t>
        </is>
      </c>
      <c r="B38" s="91" t="n">
        <v>-609</v>
      </c>
      <c r="C38" s="91" t="n">
        <v>-84</v>
      </c>
      <c r="D38" s="91" t="n">
        <v>-290</v>
      </c>
      <c r="E38" s="91" t="n">
        <v>-1127</v>
      </c>
    </row>
    <row r="39">
      <c r="A39" s="82" t="inlineStr">
        <is>
          <t>Total Other Finance Cost</t>
        </is>
      </c>
      <c r="B39" s="91" t="n">
        <v>-324</v>
      </c>
      <c r="C39" s="91" t="n">
        <v>-268</v>
      </c>
      <c r="D39" s="91" t="n">
        <v>-288</v>
      </c>
      <c r="E39" s="91" t="n">
        <v>-316</v>
      </c>
    </row>
    <row r="40">
      <c r="A40" s="82" t="inlineStr">
        <is>
          <t>Interest Expense Non Operating</t>
        </is>
      </c>
      <c r="B40" s="91" t="n">
        <v>2076</v>
      </c>
      <c r="C40" s="91" t="n">
        <v>2153</v>
      </c>
      <c r="D40" s="91" t="n">
        <v>2364</v>
      </c>
      <c r="E40" s="91" t="n">
        <v>2558</v>
      </c>
    </row>
    <row r="41">
      <c r="A41" s="82" t="inlineStr">
        <is>
          <t>Interest Income Non Operating</t>
        </is>
      </c>
      <c r="B41" s="91" t="n">
        <v>1143</v>
      </c>
      <c r="C41" s="91" t="n">
        <v>1801</v>
      </c>
      <c r="D41" s="91" t="n">
        <v>1786</v>
      </c>
      <c r="E41" s="91" t="n">
        <v>1115</v>
      </c>
    </row>
    <row r="42">
      <c r="A42" s="82" t="inlineStr">
        <is>
          <t>Operating Income</t>
        </is>
      </c>
      <c r="B42" s="91" t="n">
        <v>49693</v>
      </c>
      <c r="C42" s="91" t="n">
        <v>30857</v>
      </c>
      <c r="D42" s="91" t="n">
        <v>24105</v>
      </c>
      <c r="E42" s="91" t="n">
        <v>19925</v>
      </c>
    </row>
    <row r="43">
      <c r="A43" s="82" t="inlineStr">
        <is>
          <t>Operating Expense</t>
        </is>
      </c>
      <c r="B43" s="91" t="n">
        <v>31518</v>
      </c>
      <c r="C43" s="91" t="n">
        <v>31516</v>
      </c>
      <c r="D43" s="91" t="n">
        <v>31427</v>
      </c>
      <c r="E43" s="91" t="n">
        <v>31922</v>
      </c>
    </row>
    <row r="44">
      <c r="A44" s="82" t="inlineStr">
        <is>
          <t>Other Operating Expenses</t>
        </is>
      </c>
      <c r="B44" s="91" t="n">
        <v>31518</v>
      </c>
      <c r="C44" s="91" t="n">
        <v>31516</v>
      </c>
      <c r="D44" s="91" t="n">
        <v>31427</v>
      </c>
      <c r="E44" s="91" t="n">
        <v>31922</v>
      </c>
    </row>
    <row r="45">
      <c r="A45" s="82" t="inlineStr">
        <is>
          <t>Gross Profit</t>
        </is>
      </c>
      <c r="B45" s="91" t="n">
        <v>81211</v>
      </c>
      <c r="C45" s="91" t="n">
        <v>62373</v>
      </c>
      <c r="D45" s="91" t="n">
        <v>55532</v>
      </c>
      <c r="E45" s="91" t="n">
        <v>51847</v>
      </c>
    </row>
    <row r="46">
      <c r="A46" s="82" t="inlineStr">
        <is>
          <t>Cost Of Revenue</t>
        </is>
      </c>
      <c r="B46" s="91" t="n">
        <v>182099</v>
      </c>
      <c r="C46" s="91" t="n">
        <v>156572</v>
      </c>
      <c r="D46" s="91" t="n">
        <v>140078</v>
      </c>
      <c r="E46" s="91" t="n">
        <v>130497</v>
      </c>
    </row>
    <row r="47">
      <c r="A47" s="82" t="inlineStr">
        <is>
          <t>Total Revenue</t>
        </is>
      </c>
      <c r="B47" s="91" t="n">
        <v>263310</v>
      </c>
      <c r="C47" s="91" t="n">
        <v>218945</v>
      </c>
      <c r="D47" s="91" t="n">
        <v>195610</v>
      </c>
      <c r="E47" s="91" t="n">
        <v>182344</v>
      </c>
    </row>
    <row r="48">
      <c r="A48" s="82" t="inlineStr">
        <is>
          <t>Excise Taxes</t>
        </is>
      </c>
      <c r="B48" s="91" t="n">
        <v>17689</v>
      </c>
      <c r="C48" s="91" t="n">
        <v>18183</v>
      </c>
      <c r="D48" s="91" t="n">
        <v>18940</v>
      </c>
      <c r="E48" s="91" t="n">
        <v>18852</v>
      </c>
    </row>
    <row r="49">
      <c r="A49" s="82" t="inlineStr">
        <is>
          <t>Operating Revenue</t>
        </is>
      </c>
      <c r="B49" s="91" t="n">
        <v>280999</v>
      </c>
      <c r="C49" s="91" t="n">
        <v>237128</v>
      </c>
      <c r="D49" s="91" t="n">
        <v>214550</v>
      </c>
      <c r="E49" s="91" t="n">
        <v>201196</v>
      </c>
    </row>
    <row r="50"/>
    <row r="51">
      <c r="A51" s="2" t="inlineStr">
        <is>
          <t>Source : yfinance — à recouper avec les états financiers officiels (10-K / 20-F / document d'enregistrement universel).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Bilan — en millions USD</t>
        </is>
      </c>
    </row>
    <row r="2"/>
    <row r="3">
      <c r="A3" s="78" t="inlineStr">
        <is>
          <t>Poste</t>
        </is>
      </c>
      <c r="B3" s="78" t="inlineStr">
        <is>
          <t>2021</t>
        </is>
      </c>
      <c r="C3" s="78" t="inlineStr">
        <is>
          <t>2022</t>
        </is>
      </c>
      <c r="D3" s="78" t="inlineStr">
        <is>
          <t>2023</t>
        </is>
      </c>
      <c r="E3" s="78" t="inlineStr">
        <is>
          <t>2024</t>
        </is>
      </c>
      <c r="F3" s="78" t="inlineStr">
        <is>
          <t>2025</t>
        </is>
      </c>
    </row>
    <row r="4">
      <c r="A4" s="82" t="inlineStr">
        <is>
          <t>Treasury Shares Number</t>
        </is>
      </c>
      <c r="B4" s="91" t="n"/>
      <c r="C4" s="91" t="n">
        <v>137.187667</v>
      </c>
      <c r="D4" s="91" t="n">
        <v>60.543213</v>
      </c>
      <c r="E4" s="91" t="n">
        <v>149.529818</v>
      </c>
      <c r="F4" s="91" t="n">
        <v>63.702529</v>
      </c>
    </row>
    <row r="5">
      <c r="A5" s="82" t="inlineStr">
        <is>
          <t>Ordinary Shares Number</t>
        </is>
      </c>
      <c r="B5" s="91" t="n"/>
      <c r="C5" s="91" t="n">
        <v>2481.943618</v>
      </c>
      <c r="D5" s="91" t="n">
        <v>2351.708622</v>
      </c>
      <c r="E5" s="91" t="n">
        <v>2248.149843</v>
      </c>
      <c r="F5" s="91" t="n">
        <v>2142.883014</v>
      </c>
    </row>
    <row r="6">
      <c r="A6" s="82" t="inlineStr">
        <is>
          <t>Share Issued</t>
        </is>
      </c>
      <c r="B6" s="91" t="n"/>
      <c r="C6" s="91" t="n">
        <v>2619.131285</v>
      </c>
      <c r="D6" s="91" t="n">
        <v>2412.251835</v>
      </c>
      <c r="E6" s="91" t="n">
        <v>2397.679661</v>
      </c>
      <c r="F6" s="91" t="n">
        <v>2206.585543</v>
      </c>
    </row>
    <row r="7">
      <c r="A7" s="82" t="inlineStr">
        <is>
          <t>Net Debt</t>
        </is>
      </c>
      <c r="B7" s="91" t="n"/>
      <c r="C7" s="91" t="n">
        <v>22557</v>
      </c>
      <c r="D7" s="91" t="n">
        <v>18886</v>
      </c>
      <c r="E7" s="91" t="n">
        <v>23305</v>
      </c>
      <c r="F7" s="91" t="n">
        <v>34043</v>
      </c>
    </row>
    <row r="8">
      <c r="A8" s="82" t="inlineStr">
        <is>
          <t>Total Debt</t>
        </is>
      </c>
      <c r="B8" s="91" t="n"/>
      <c r="C8" s="91" t="n">
        <v>57020</v>
      </c>
      <c r="D8" s="91" t="n">
        <v>47870</v>
      </c>
      <c r="E8" s="91" t="n">
        <v>51244</v>
      </c>
      <c r="F8" s="91" t="n">
        <v>60071</v>
      </c>
    </row>
    <row r="9">
      <c r="A9" s="82" t="inlineStr">
        <is>
          <t>Tangible Book Value</t>
        </is>
      </c>
      <c r="B9" s="91" t="n"/>
      <c r="C9" s="91" t="n">
        <v>100746</v>
      </c>
      <c r="D9" s="91" t="n">
        <v>104031</v>
      </c>
      <c r="E9" s="91" t="n">
        <v>103470</v>
      </c>
      <c r="F9" s="91" t="n">
        <v>98238</v>
      </c>
    </row>
    <row r="10">
      <c r="A10" s="82" t="inlineStr">
        <is>
          <t>Invested Capital</t>
        </is>
      </c>
      <c r="B10" s="91" t="n"/>
      <c r="C10" s="91" t="n">
        <v>167307</v>
      </c>
      <c r="D10" s="91" t="n">
        <v>162902</v>
      </c>
      <c r="E10" s="91" t="n">
        <v>167007</v>
      </c>
      <c r="F10" s="91" t="n">
        <v>173078</v>
      </c>
    </row>
    <row r="11">
      <c r="A11" s="82" t="inlineStr">
        <is>
          <t>Working Capital</t>
        </is>
      </c>
      <c r="B11" s="91" t="n"/>
      <c r="C11" s="91" t="n">
        <v>15946</v>
      </c>
      <c r="D11" s="91" t="n">
        <v>10744</v>
      </c>
      <c r="E11" s="91" t="n">
        <v>8611</v>
      </c>
      <c r="F11" s="91" t="n">
        <v>-3094</v>
      </c>
    </row>
    <row r="12">
      <c r="A12" s="82" t="inlineStr">
        <is>
          <t>Net Tangible Assets</t>
        </is>
      </c>
      <c r="B12" s="91" t="n"/>
      <c r="C12" s="91" t="n">
        <v>100746</v>
      </c>
      <c r="D12" s="91" t="n">
        <v>104031</v>
      </c>
      <c r="E12" s="91" t="n">
        <v>103470</v>
      </c>
      <c r="F12" s="91" t="n">
        <v>98238</v>
      </c>
    </row>
    <row r="13">
      <c r="A13" s="82" t="inlineStr">
        <is>
          <t>Capital Lease Obligations</t>
        </is>
      </c>
      <c r="B13" s="91" t="n"/>
      <c r="C13" s="91" t="n">
        <v>1437</v>
      </c>
      <c r="D13" s="91" t="n">
        <v>1721</v>
      </c>
      <c r="E13" s="91" t="n">
        <v>2095</v>
      </c>
      <c r="F13" s="91" t="n">
        <v>1876</v>
      </c>
    </row>
    <row r="14">
      <c r="A14" s="82" t="inlineStr">
        <is>
          <t>Common Stock Equity</t>
        </is>
      </c>
      <c r="B14" s="91" t="n"/>
      <c r="C14" s="91" t="n">
        <v>111724</v>
      </c>
      <c r="D14" s="91" t="n">
        <v>116753</v>
      </c>
      <c r="E14" s="91" t="n">
        <v>117858</v>
      </c>
      <c r="F14" s="91" t="n">
        <v>114883</v>
      </c>
    </row>
    <row r="15">
      <c r="A15" s="82" t="inlineStr">
        <is>
          <t>Total Capitalization</t>
        </is>
      </c>
      <c r="B15" s="91" t="n"/>
      <c r="C15" s="91" t="n">
        <v>153242</v>
      </c>
      <c r="D15" s="91" t="n">
        <v>155033</v>
      </c>
      <c r="E15" s="91" t="n">
        <v>159078</v>
      </c>
      <c r="F15" s="91" t="n">
        <v>162916</v>
      </c>
    </row>
    <row r="16">
      <c r="A16" s="82" t="inlineStr">
        <is>
          <t>Total Equity Gross Minority Interest</t>
        </is>
      </c>
      <c r="B16" s="91" t="n"/>
      <c r="C16" s="91" t="n">
        <v>114570</v>
      </c>
      <c r="D16" s="91" t="n">
        <v>119453</v>
      </c>
      <c r="E16" s="91" t="n">
        <v>120255</v>
      </c>
      <c r="F16" s="91" t="n">
        <v>117523</v>
      </c>
    </row>
    <row r="17">
      <c r="A17" s="82" t="inlineStr">
        <is>
          <t>Minority Interest</t>
        </is>
      </c>
      <c r="B17" s="91" t="n"/>
      <c r="C17" s="91" t="n">
        <v>2846</v>
      </c>
      <c r="D17" s="91" t="n">
        <v>2700</v>
      </c>
      <c r="E17" s="91" t="n">
        <v>2397</v>
      </c>
      <c r="F17" s="91" t="n">
        <v>2640</v>
      </c>
    </row>
    <row r="18">
      <c r="A18" s="82" t="inlineStr">
        <is>
          <t>Stockholders Equity</t>
        </is>
      </c>
      <c r="B18" s="91" t="n"/>
      <c r="C18" s="91" t="n">
        <v>111724</v>
      </c>
      <c r="D18" s="91" t="n">
        <v>116753</v>
      </c>
      <c r="E18" s="91" t="n">
        <v>117858</v>
      </c>
      <c r="F18" s="91" t="n">
        <v>114883</v>
      </c>
    </row>
    <row r="19">
      <c r="A19" s="82" t="inlineStr">
        <is>
          <t>Gains Losses Not Affecting Retained Earnings</t>
        </is>
      </c>
      <c r="B19" s="91" t="n"/>
      <c r="C19" s="91" t="n">
        <v>-12836</v>
      </c>
      <c r="D19" s="91" t="n">
        <v>-13701</v>
      </c>
      <c r="E19" s="91" t="n">
        <v>-15259</v>
      </c>
      <c r="F19" s="91" t="n">
        <v>-14033</v>
      </c>
    </row>
    <row r="20">
      <c r="A20" s="82" t="inlineStr">
        <is>
          <t>Foreign Currency Translation Adjustments</t>
        </is>
      </c>
      <c r="B20" s="91" t="n"/>
      <c r="C20" s="91" t="n">
        <v>-12836</v>
      </c>
      <c r="D20" s="91" t="n">
        <v>-13701</v>
      </c>
      <c r="E20" s="91" t="n">
        <v>-15259</v>
      </c>
      <c r="F20" s="91" t="n">
        <v>-14033</v>
      </c>
    </row>
    <row r="21">
      <c r="A21" s="82" t="inlineStr">
        <is>
          <t>Treasury Stock</t>
        </is>
      </c>
      <c r="B21" s="91" t="n"/>
      <c r="C21" s="91" t="n">
        <v>7554</v>
      </c>
      <c r="D21" s="91" t="n">
        <v>4019</v>
      </c>
      <c r="E21" s="91" t="n">
        <v>9956</v>
      </c>
      <c r="F21" s="91" t="n">
        <v>4003</v>
      </c>
    </row>
    <row r="22">
      <c r="A22" s="82" t="inlineStr">
        <is>
          <t>Additional Paid In Capital</t>
        </is>
      </c>
      <c r="B22" s="91" t="n"/>
      <c r="C22" s="91" t="n">
        <v>123951</v>
      </c>
      <c r="D22" s="91" t="n">
        <v>126857</v>
      </c>
      <c r="E22" s="91" t="n">
        <v>135496</v>
      </c>
      <c r="F22" s="91" t="n">
        <v>125860</v>
      </c>
    </row>
    <row r="23">
      <c r="A23" s="82" t="inlineStr">
        <is>
          <t>Capital Stock</t>
        </is>
      </c>
      <c r="B23" s="91" t="n"/>
      <c r="C23" s="91" t="n">
        <v>8163</v>
      </c>
      <c r="D23" s="91" t="n">
        <v>7616</v>
      </c>
      <c r="E23" s="91" t="n">
        <v>7577</v>
      </c>
      <c r="F23" s="91" t="n">
        <v>7059</v>
      </c>
    </row>
    <row r="24">
      <c r="A24" s="82" t="inlineStr">
        <is>
          <t>Common Stock</t>
        </is>
      </c>
      <c r="B24" s="91" t="n"/>
      <c r="C24" s="91" t="n">
        <v>8163</v>
      </c>
      <c r="D24" s="91" t="n">
        <v>7616</v>
      </c>
      <c r="E24" s="91" t="n">
        <v>7577</v>
      </c>
      <c r="F24" s="91" t="n">
        <v>7059</v>
      </c>
    </row>
    <row r="25">
      <c r="A25" s="82" t="inlineStr">
        <is>
          <t>Total Liabilities Net Minority Interest</t>
        </is>
      </c>
      <c r="B25" s="91" t="n"/>
      <c r="C25" s="91" t="n">
        <v>189294</v>
      </c>
      <c r="D25" s="91" t="n">
        <v>164201</v>
      </c>
      <c r="E25" s="91" t="n">
        <v>165232</v>
      </c>
      <c r="F25" s="91" t="n">
        <v>173532</v>
      </c>
    </row>
    <row r="26">
      <c r="A26" s="82" t="inlineStr">
        <is>
          <t>Total Non Current Liabilities Net Minority Interest</t>
        </is>
      </c>
      <c r="B26" s="91" t="n"/>
      <c r="C26" s="91" t="n">
        <v>79516</v>
      </c>
      <c r="D26" s="91" t="n">
        <v>75416</v>
      </c>
      <c r="E26" s="91" t="n">
        <v>77272</v>
      </c>
      <c r="F26" s="91" t="n">
        <v>80969</v>
      </c>
    </row>
    <row r="27">
      <c r="A27" s="82" t="inlineStr">
        <is>
          <t>Other Non Current Liabilities</t>
        </is>
      </c>
      <c r="B27" s="91" t="n"/>
      <c r="C27" s="91" t="n">
        <v>3379</v>
      </c>
      <c r="D27" s="91" t="n">
        <v>4858</v>
      </c>
      <c r="E27" s="91" t="n">
        <v>4486</v>
      </c>
      <c r="F27" s="91" t="n">
        <v>3834</v>
      </c>
    </row>
    <row r="28">
      <c r="A28" s="82" t="inlineStr">
        <is>
          <t>Derivative Product Liabilities</t>
        </is>
      </c>
      <c r="B28" s="91" t="n"/>
      <c r="C28" s="91" t="n">
        <v>3746</v>
      </c>
      <c r="D28" s="91" t="n">
        <v>2198</v>
      </c>
      <c r="E28" s="91" t="n">
        <v>2313</v>
      </c>
      <c r="F28" s="91" t="n">
        <v>962</v>
      </c>
    </row>
    <row r="29">
      <c r="A29" s="82" t="inlineStr">
        <is>
          <t>Employee Benefits</t>
        </is>
      </c>
      <c r="B29" s="91" t="n"/>
      <c r="C29" s="91" t="n">
        <v>1829</v>
      </c>
      <c r="D29" s="91" t="n">
        <v>1993</v>
      </c>
      <c r="E29" s="91" t="n">
        <v>1753</v>
      </c>
      <c r="F29" s="91" t="n">
        <v>2018</v>
      </c>
    </row>
    <row r="30">
      <c r="A30" s="82" t="inlineStr">
        <is>
          <t>Non Current Deferred Liabilities</t>
        </is>
      </c>
      <c r="B30" s="91" t="n"/>
      <c r="C30" s="91" t="n">
        <v>11021</v>
      </c>
      <c r="D30" s="91" t="n">
        <v>11688</v>
      </c>
      <c r="E30" s="91" t="n">
        <v>12114</v>
      </c>
      <c r="F30" s="91" t="n">
        <v>12634</v>
      </c>
    </row>
    <row r="31">
      <c r="A31" s="82" t="inlineStr">
        <is>
          <t>Non Current Deferred Taxes Liabilities</t>
        </is>
      </c>
      <c r="B31" s="91" t="n"/>
      <c r="C31" s="91" t="n">
        <v>11021</v>
      </c>
      <c r="D31" s="91" t="n">
        <v>11688</v>
      </c>
      <c r="E31" s="91" t="n">
        <v>12114</v>
      </c>
      <c r="F31" s="91" t="n">
        <v>12634</v>
      </c>
    </row>
    <row r="32">
      <c r="A32" s="82" t="inlineStr">
        <is>
          <t>Long Term Debt And Capital Lease Obligation</t>
        </is>
      </c>
      <c r="B32" s="91" t="n"/>
      <c r="C32" s="91" t="n">
        <v>41518</v>
      </c>
      <c r="D32" s="91" t="n">
        <v>38280</v>
      </c>
      <c r="E32" s="91" t="n">
        <v>41220</v>
      </c>
      <c r="F32" s="91" t="n">
        <v>48033</v>
      </c>
    </row>
    <row r="33">
      <c r="A33" s="82" t="inlineStr">
        <is>
          <t>Long Term Debt</t>
        </is>
      </c>
      <c r="B33" s="91" t="n"/>
      <c r="C33" s="91" t="n">
        <v>41518</v>
      </c>
      <c r="D33" s="91" t="n">
        <v>38280</v>
      </c>
      <c r="E33" s="91" t="n">
        <v>41220</v>
      </c>
      <c r="F33" s="91" t="n">
        <v>48033</v>
      </c>
    </row>
    <row r="34">
      <c r="A34" s="82" t="inlineStr">
        <is>
          <t>Long Term Provisions</t>
        </is>
      </c>
      <c r="B34" s="91" t="n"/>
      <c r="C34" s="91" t="n">
        <v>18023</v>
      </c>
      <c r="D34" s="91" t="n">
        <v>16399</v>
      </c>
      <c r="E34" s="91" t="n">
        <v>15386</v>
      </c>
      <c r="F34" s="91" t="n">
        <v>13488</v>
      </c>
    </row>
    <row r="35">
      <c r="A35" s="82" t="inlineStr">
        <is>
          <t>Current Liabilities</t>
        </is>
      </c>
      <c r="B35" s="91" t="n"/>
      <c r="C35" s="91" t="n">
        <v>109778</v>
      </c>
      <c r="D35" s="91" t="n">
        <v>88785</v>
      </c>
      <c r="E35" s="91" t="n">
        <v>87960</v>
      </c>
      <c r="F35" s="91" t="n">
        <v>92563</v>
      </c>
    </row>
    <row r="36">
      <c r="A36" s="82" t="inlineStr">
        <is>
          <t>Other Current Liabilities</t>
        </is>
      </c>
      <c r="B36" s="91" t="n"/>
      <c r="C36" s="91" t="n">
        <v>35841</v>
      </c>
      <c r="D36" s="91" t="n">
        <v>21070</v>
      </c>
      <c r="E36" s="91" t="n">
        <v>22285</v>
      </c>
      <c r="F36" s="91" t="n">
        <v>27890</v>
      </c>
    </row>
    <row r="37">
      <c r="A37" s="82" t="inlineStr">
        <is>
          <t>Current Debt And Capital Lease Obligation</t>
        </is>
      </c>
      <c r="B37" s="91" t="n"/>
      <c r="C37" s="91" t="n">
        <v>15502</v>
      </c>
      <c r="D37" s="91" t="n">
        <v>9590</v>
      </c>
      <c r="E37" s="91" t="n">
        <v>10024</v>
      </c>
      <c r="F37" s="91" t="n">
        <v>12038</v>
      </c>
    </row>
    <row r="38">
      <c r="A38" s="82" t="inlineStr">
        <is>
          <t>Current Capital Lease Obligation</t>
        </is>
      </c>
      <c r="B38" s="91" t="n"/>
      <c r="C38" s="91" t="n">
        <v>1437</v>
      </c>
      <c r="D38" s="91" t="n">
        <v>1721</v>
      </c>
      <c r="E38" s="91" t="n">
        <v>2095</v>
      </c>
      <c r="F38" s="91" t="n">
        <v>1876</v>
      </c>
    </row>
    <row r="39">
      <c r="A39" s="82" t="inlineStr">
        <is>
          <t>Current Debt</t>
        </is>
      </c>
      <c r="B39" s="91" t="n"/>
      <c r="C39" s="91" t="n">
        <v>14065</v>
      </c>
      <c r="D39" s="91" t="n">
        <v>7869</v>
      </c>
      <c r="E39" s="91" t="n">
        <v>7929</v>
      </c>
      <c r="F39" s="91" t="n">
        <v>10162</v>
      </c>
    </row>
    <row r="40">
      <c r="A40" s="82" t="inlineStr">
        <is>
          <t>Other Current Borrowings</t>
        </is>
      </c>
      <c r="B40" s="91" t="n"/>
      <c r="C40" s="91" t="n">
        <v>14065</v>
      </c>
      <c r="D40" s="91" t="n">
        <v>7869</v>
      </c>
      <c r="E40" s="91" t="n">
        <v>7929</v>
      </c>
      <c r="F40" s="91" t="n">
        <v>10162</v>
      </c>
    </row>
    <row r="41">
      <c r="A41" s="82" t="inlineStr">
        <is>
          <t>Payables And Accrued Expenses</t>
        </is>
      </c>
      <c r="B41" s="91" t="n"/>
      <c r="C41" s="91" t="n">
        <v>58435</v>
      </c>
      <c r="D41" s="91" t="n">
        <v>58125</v>
      </c>
      <c r="E41" s="91" t="n">
        <v>55651</v>
      </c>
      <c r="F41" s="91" t="n">
        <v>52635</v>
      </c>
    </row>
    <row r="42">
      <c r="A42" s="82" t="inlineStr">
        <is>
          <t>Current Accrued Expenses</t>
        </is>
      </c>
      <c r="B42" s="91" t="n"/>
      <c r="C42" s="91" t="n">
        <v>2309</v>
      </c>
      <c r="D42" s="91" t="n">
        <v>2816</v>
      </c>
      <c r="E42" s="91" t="n">
        <v>3158</v>
      </c>
      <c r="F42" s="91" t="n">
        <v>4143</v>
      </c>
    </row>
    <row r="43">
      <c r="A43" s="82" t="inlineStr">
        <is>
          <t>Payables</t>
        </is>
      </c>
      <c r="B43" s="91" t="n"/>
      <c r="C43" s="91" t="n">
        <v>56126</v>
      </c>
      <c r="D43" s="91" t="n">
        <v>55309</v>
      </c>
      <c r="E43" s="91" t="n">
        <v>52493</v>
      </c>
      <c r="F43" s="91" t="n">
        <v>48492</v>
      </c>
    </row>
    <row r="44">
      <c r="A44" s="82" t="inlineStr">
        <is>
          <t>Total Tax Payable</t>
        </is>
      </c>
      <c r="B44" s="91" t="n"/>
      <c r="C44" s="91" t="n">
        <v>14780</v>
      </c>
      <c r="D44" s="91" t="n">
        <v>13974</v>
      </c>
      <c r="E44" s="91" t="n">
        <v>12561</v>
      </c>
      <c r="F44" s="91" t="n">
        <v>10427</v>
      </c>
    </row>
    <row r="45">
      <c r="A45" s="82" t="inlineStr">
        <is>
          <t>Accounts Payable</t>
        </is>
      </c>
      <c r="B45" s="91" t="n"/>
      <c r="C45" s="91" t="n">
        <v>41346</v>
      </c>
      <c r="D45" s="91" t="n">
        <v>41335</v>
      </c>
      <c r="E45" s="91" t="n">
        <v>39932</v>
      </c>
      <c r="F45" s="91" t="n">
        <v>38065</v>
      </c>
    </row>
    <row r="46">
      <c r="A46" s="82" t="inlineStr">
        <is>
          <t>Total Assets</t>
        </is>
      </c>
      <c r="B46" s="91" t="n"/>
      <c r="C46" s="91" t="n">
        <v>303864</v>
      </c>
      <c r="D46" s="91" t="n">
        <v>283654</v>
      </c>
      <c r="E46" s="91" t="n">
        <v>285487</v>
      </c>
      <c r="F46" s="91" t="n">
        <v>291055</v>
      </c>
    </row>
    <row r="47">
      <c r="A47" s="82" t="inlineStr">
        <is>
          <t>Total Non Current Assets</t>
        </is>
      </c>
      <c r="B47" s="91" t="n"/>
      <c r="C47" s="91" t="n">
        <v>178140</v>
      </c>
      <c r="D47" s="91" t="n">
        <v>184125</v>
      </c>
      <c r="E47" s="91" t="n">
        <v>188916</v>
      </c>
      <c r="F47" s="91" t="n">
        <v>201586</v>
      </c>
    </row>
    <row r="48">
      <c r="A48" s="82" t="inlineStr">
        <is>
          <t>Other Non Current Assets</t>
        </is>
      </c>
      <c r="B48" s="91" t="n"/>
      <c r="C48" s="91" t="n">
        <v>301</v>
      </c>
      <c r="D48" s="91" t="n">
        <v>330</v>
      </c>
      <c r="E48" s="91" t="n">
        <v>154</v>
      </c>
      <c r="F48" s="91" t="n">
        <v>288</v>
      </c>
    </row>
    <row r="49">
      <c r="A49" s="82" t="inlineStr">
        <is>
          <t>Non Current Deferred Assets</t>
        </is>
      </c>
      <c r="B49" s="91" t="n"/>
      <c r="C49" s="91" t="n">
        <v>5049</v>
      </c>
      <c r="D49" s="91" t="n">
        <v>3418</v>
      </c>
      <c r="E49" s="91" t="n">
        <v>3202</v>
      </c>
      <c r="F49" s="91" t="n">
        <v>3358</v>
      </c>
    </row>
    <row r="50">
      <c r="A50" s="82" t="inlineStr">
        <is>
          <t>Non Current Deferred Taxes Assets</t>
        </is>
      </c>
      <c r="B50" s="91" t="n"/>
      <c r="C50" s="91" t="n">
        <v>5049</v>
      </c>
      <c r="D50" s="91" t="n">
        <v>3418</v>
      </c>
      <c r="E50" s="91" t="n">
        <v>3202</v>
      </c>
      <c r="F50" s="91" t="n">
        <v>3358</v>
      </c>
    </row>
    <row r="51">
      <c r="A51" s="82" t="inlineStr">
        <is>
          <t>Non Current Note Receivables</t>
        </is>
      </c>
      <c r="B51" s="91" t="n"/>
      <c r="C51" s="91" t="n">
        <v>5570</v>
      </c>
      <c r="D51" s="91" t="n">
        <v>6784</v>
      </c>
      <c r="E51" s="91" t="n">
        <v>8708</v>
      </c>
      <c r="F51" s="91" t="n">
        <v>9666</v>
      </c>
    </row>
    <row r="52">
      <c r="A52" s="82" t="inlineStr">
        <is>
          <t>Financial Assets</t>
        </is>
      </c>
      <c r="B52" s="91" t="n"/>
      <c r="C52" s="91" t="n">
        <v>813</v>
      </c>
      <c r="D52" s="91" t="n">
        <v>673</v>
      </c>
      <c r="E52" s="91" t="n">
        <v>546</v>
      </c>
      <c r="F52" s="91" t="n">
        <v>812</v>
      </c>
    </row>
    <row r="53">
      <c r="A53" s="82" t="inlineStr">
        <is>
          <t>Investments And Advances</t>
        </is>
      </c>
      <c r="B53" s="91" t="n"/>
      <c r="C53" s="91" t="n">
        <v>27375</v>
      </c>
      <c r="D53" s="91" t="n">
        <v>30921</v>
      </c>
      <c r="E53" s="91" t="n">
        <v>32973</v>
      </c>
      <c r="F53" s="91" t="n">
        <v>35423</v>
      </c>
    </row>
    <row r="54">
      <c r="A54" s="82" t="inlineStr">
        <is>
          <t>Other Investments</t>
        </is>
      </c>
      <c r="B54" s="91" t="n">
        <v>0</v>
      </c>
      <c r="C54" s="91" t="n">
        <v>0</v>
      </c>
      <c r="D54" s="91" t="n">
        <v>0</v>
      </c>
      <c r="E54" s="91" t="n"/>
      <c r="F54" s="91" t="n"/>
    </row>
    <row r="55">
      <c r="A55" s="82" t="inlineStr">
        <is>
          <t>Investmentin Financial Assets</t>
        </is>
      </c>
      <c r="B55" s="91" t="n"/>
      <c r="C55" s="91" t="n">
        <v>3219</v>
      </c>
      <c r="D55" s="91" t="n">
        <v>5026</v>
      </c>
      <c r="E55" s="91" t="n">
        <v>5101</v>
      </c>
      <c r="F55" s="91" t="n">
        <v>4758</v>
      </c>
    </row>
    <row r="56">
      <c r="A56" s="82" t="inlineStr">
        <is>
          <t>Available For Sale Securities</t>
        </is>
      </c>
      <c r="B56" s="91" t="n"/>
      <c r="C56" s="91" t="n">
        <v>1797</v>
      </c>
      <c r="D56" s="91" t="n">
        <v>3424</v>
      </c>
      <c r="E56" s="91" t="n">
        <v>3599</v>
      </c>
      <c r="F56" s="91" t="n">
        <v>2430</v>
      </c>
    </row>
    <row r="57">
      <c r="A57" s="82" t="inlineStr">
        <is>
          <t>Financial Assets Designatedas Fair Value Through Profitor Loss Total</t>
        </is>
      </c>
      <c r="B57" s="91" t="n"/>
      <c r="C57" s="91" t="n">
        <v>1422</v>
      </c>
      <c r="D57" s="91" t="n">
        <v>1602</v>
      </c>
      <c r="E57" s="91" t="n">
        <v>1502</v>
      </c>
      <c r="F57" s="91" t="n">
        <v>2328</v>
      </c>
    </row>
    <row r="58">
      <c r="A58" s="82" t="inlineStr">
        <is>
          <t>Long Term Equity Investment</t>
        </is>
      </c>
      <c r="B58" s="91" t="n"/>
      <c r="C58" s="91" t="n">
        <v>24156</v>
      </c>
      <c r="D58" s="91" t="n">
        <v>25895</v>
      </c>
      <c r="E58" s="91" t="n">
        <v>27872</v>
      </c>
      <c r="F58" s="91" t="n">
        <v>30665</v>
      </c>
    </row>
    <row r="59">
      <c r="A59" s="82" t="inlineStr">
        <is>
          <t>Investmentsin Joint Venturesat Cost</t>
        </is>
      </c>
      <c r="B59" s="91" t="n"/>
      <c r="C59" s="91" t="n">
        <v>14623</v>
      </c>
      <c r="D59" s="91" t="n">
        <v>16411</v>
      </c>
      <c r="E59" s="91" t="n">
        <v>17485</v>
      </c>
      <c r="F59" s="91" t="n">
        <v>19801</v>
      </c>
    </row>
    <row r="60">
      <c r="A60" s="82" t="inlineStr">
        <is>
          <t>Investmentsin Associatesat Cost</t>
        </is>
      </c>
      <c r="B60" s="91" t="n"/>
      <c r="C60" s="91" t="n">
        <v>9533</v>
      </c>
      <c r="D60" s="91" t="n">
        <v>9484</v>
      </c>
      <c r="E60" s="91" t="n">
        <v>10387</v>
      </c>
      <c r="F60" s="91" t="n">
        <v>10864</v>
      </c>
    </row>
    <row r="61">
      <c r="A61" s="82" t="inlineStr">
        <is>
          <t>Goodwill And Other Intangible Assets</t>
        </is>
      </c>
      <c r="B61" s="91" t="n"/>
      <c r="C61" s="91" t="n">
        <v>10978</v>
      </c>
      <c r="D61" s="91" t="n">
        <v>12722</v>
      </c>
      <c r="E61" s="91" t="n">
        <v>14388</v>
      </c>
      <c r="F61" s="91" t="n">
        <v>16645</v>
      </c>
    </row>
    <row r="62">
      <c r="A62" s="82" t="inlineStr">
        <is>
          <t>Other Intangible Assets</t>
        </is>
      </c>
      <c r="B62" s="91" t="n"/>
      <c r="C62" s="91" t="n">
        <v>2328</v>
      </c>
      <c r="D62" s="91" t="n">
        <v>2771</v>
      </c>
      <c r="E62" s="91" t="n">
        <v>3123</v>
      </c>
      <c r="F62" s="91" t="n">
        <v>4144</v>
      </c>
    </row>
    <row r="63">
      <c r="A63" s="82" t="inlineStr">
        <is>
          <t>Goodwill</t>
        </is>
      </c>
      <c r="B63" s="91" t="n"/>
      <c r="C63" s="91" t="n">
        <v>8650</v>
      </c>
      <c r="D63" s="91" t="n">
        <v>9951</v>
      </c>
      <c r="E63" s="91" t="n">
        <v>11265</v>
      </c>
      <c r="F63" s="91" t="n">
        <v>12501</v>
      </c>
    </row>
    <row r="64">
      <c r="A64" s="82" t="inlineStr">
        <is>
          <t>Net PPE</t>
        </is>
      </c>
      <c r="B64" s="91" t="n"/>
      <c r="C64" s="91" t="n">
        <v>128054</v>
      </c>
      <c r="D64" s="91" t="n">
        <v>129277</v>
      </c>
      <c r="E64" s="91" t="n">
        <v>128945</v>
      </c>
      <c r="F64" s="91" t="n">
        <v>135394</v>
      </c>
    </row>
    <row r="65">
      <c r="A65" s="82" t="inlineStr">
        <is>
          <t>Accumulated Depreciation</t>
        </is>
      </c>
      <c r="B65" s="91" t="n"/>
      <c r="C65" s="91" t="n">
        <v>-202011</v>
      </c>
      <c r="D65" s="91" t="n">
        <v>-199298</v>
      </c>
      <c r="E65" s="91" t="n">
        <v>-195882</v>
      </c>
      <c r="F65" s="91" t="n">
        <v>-197537</v>
      </c>
    </row>
    <row r="66">
      <c r="A66" s="82" t="inlineStr">
        <is>
          <t>Gross PPE</t>
        </is>
      </c>
      <c r="B66" s="91" t="n"/>
      <c r="C66" s="91" t="n">
        <v>330065</v>
      </c>
      <c r="D66" s="91" t="n">
        <v>328575</v>
      </c>
      <c r="E66" s="91" t="n">
        <v>324827</v>
      </c>
      <c r="F66" s="91" t="n">
        <v>332931</v>
      </c>
    </row>
    <row r="67">
      <c r="A67" s="82" t="inlineStr">
        <is>
          <t>Construction In Progress</t>
        </is>
      </c>
      <c r="B67" s="91" t="n"/>
      <c r="C67" s="91" t="n">
        <v>3960</v>
      </c>
      <c r="D67" s="91" t="n">
        <v>5262</v>
      </c>
      <c r="E67" s="91" t="n">
        <v>4382</v>
      </c>
      <c r="F67" s="91" t="n">
        <v>5886</v>
      </c>
    </row>
    <row r="68">
      <c r="A68" s="82" t="inlineStr">
        <is>
          <t>Other Properties</t>
        </is>
      </c>
      <c r="B68" s="91" t="n"/>
      <c r="C68" s="91" t="n">
        <v>10401</v>
      </c>
      <c r="D68" s="91" t="n">
        <v>12344</v>
      </c>
      <c r="E68" s="91" t="n">
        <v>12059</v>
      </c>
      <c r="F68" s="91" t="n">
        <v>12923</v>
      </c>
    </row>
    <row r="69">
      <c r="A69" s="82" t="inlineStr">
        <is>
          <t>Machinery Furniture Equipment</t>
        </is>
      </c>
      <c r="B69" s="91" t="n"/>
      <c r="C69" s="91" t="n">
        <v>37002</v>
      </c>
      <c r="D69" s="91" t="n">
        <v>38769</v>
      </c>
      <c r="E69" s="91" t="n">
        <v>39315</v>
      </c>
      <c r="F69" s="91" t="n">
        <v>43482</v>
      </c>
    </row>
    <row r="70">
      <c r="A70" s="82" t="inlineStr">
        <is>
          <t>Buildings And Improvements</t>
        </is>
      </c>
      <c r="B70" s="91" t="n"/>
      <c r="C70" s="91" t="n">
        <v>10230</v>
      </c>
      <c r="D70" s="91" t="n">
        <v>9529</v>
      </c>
      <c r="E70" s="91" t="n">
        <v>9390</v>
      </c>
      <c r="F70" s="91" t="n">
        <v>10487</v>
      </c>
    </row>
    <row r="71">
      <c r="A71" s="82" t="inlineStr">
        <is>
          <t>Land And Improvements</t>
        </is>
      </c>
      <c r="B71" s="91" t="n"/>
      <c r="C71" s="91" t="n">
        <v>3089</v>
      </c>
      <c r="D71" s="91" t="n">
        <v>2837</v>
      </c>
      <c r="E71" s="91" t="n">
        <v>2598</v>
      </c>
      <c r="F71" s="91" t="n">
        <v>2826</v>
      </c>
    </row>
    <row r="72">
      <c r="A72" s="82" t="inlineStr">
        <is>
          <t>Properties</t>
        </is>
      </c>
      <c r="B72" s="91" t="n">
        <v>266381</v>
      </c>
      <c r="C72" s="91" t="n">
        <v>265383</v>
      </c>
      <c r="D72" s="91" t="n"/>
      <c r="E72" s="91" t="n"/>
      <c r="F72" s="91" t="n"/>
    </row>
    <row r="73">
      <c r="A73" s="82" t="inlineStr">
        <is>
          <t>Current Assets</t>
        </is>
      </c>
      <c r="B73" s="91" t="n"/>
      <c r="C73" s="91" t="n">
        <v>125724</v>
      </c>
      <c r="D73" s="91" t="n">
        <v>99529</v>
      </c>
      <c r="E73" s="91" t="n">
        <v>96571</v>
      </c>
      <c r="F73" s="91" t="n">
        <v>89469</v>
      </c>
    </row>
    <row r="74">
      <c r="A74" s="82" t="inlineStr">
        <is>
          <t>Other Current Assets</t>
        </is>
      </c>
      <c r="B74" s="91" t="n"/>
      <c r="C74" s="91" t="n">
        <v>63</v>
      </c>
      <c r="D74" s="91" t="n">
        <v>60</v>
      </c>
      <c r="E74" s="91" t="n">
        <v>71</v>
      </c>
      <c r="F74" s="91" t="n">
        <v>105</v>
      </c>
    </row>
    <row r="75">
      <c r="A75" s="82" t="inlineStr">
        <is>
          <t>Hedging Assets Current</t>
        </is>
      </c>
      <c r="B75" s="91" t="n"/>
      <c r="C75" s="91" t="n">
        <v>2</v>
      </c>
      <c r="D75" s="91" t="n">
        <v>91</v>
      </c>
      <c r="E75" s="91" t="n">
        <v>29</v>
      </c>
      <c r="F75" s="91" t="n">
        <v>81</v>
      </c>
    </row>
    <row r="76">
      <c r="A76" s="82" t="inlineStr">
        <is>
          <t>Assets Held For Sale Current</t>
        </is>
      </c>
      <c r="B76" s="91" t="n"/>
      <c r="C76" s="91" t="n">
        <v>568</v>
      </c>
      <c r="D76" s="91" t="n">
        <v>2101</v>
      </c>
      <c r="E76" s="91" t="n">
        <v>1977</v>
      </c>
      <c r="F76" s="91" t="n">
        <v>4276</v>
      </c>
    </row>
    <row r="77">
      <c r="A77" s="82" t="inlineStr">
        <is>
          <t>Restricted Cash</t>
        </is>
      </c>
      <c r="B77" s="91" t="n"/>
      <c r="C77" s="91" t="n">
        <v>2352</v>
      </c>
      <c r="D77" s="91" t="n">
        <v>1807</v>
      </c>
      <c r="E77" s="91" t="n">
        <v>1804</v>
      </c>
      <c r="F77" s="91" t="n">
        <v>2050</v>
      </c>
    </row>
    <row r="78">
      <c r="A78" s="82" t="inlineStr">
        <is>
          <t>Prepaid Assets</t>
        </is>
      </c>
      <c r="B78" s="91" t="n"/>
      <c r="C78" s="91" t="n">
        <v>1455</v>
      </c>
      <c r="D78" s="91" t="n">
        <v>1731</v>
      </c>
      <c r="E78" s="91" t="n">
        <v>2481</v>
      </c>
      <c r="F78" s="91" t="n">
        <v>2260</v>
      </c>
    </row>
    <row r="79">
      <c r="A79" s="82" t="inlineStr">
        <is>
          <t>Inventory</t>
        </is>
      </c>
      <c r="B79" s="91" t="n"/>
      <c r="C79" s="91" t="n">
        <v>22936</v>
      </c>
      <c r="D79" s="91" t="n">
        <v>19317</v>
      </c>
      <c r="E79" s="91" t="n">
        <v>18868</v>
      </c>
      <c r="F79" s="91" t="n">
        <v>16663</v>
      </c>
    </row>
    <row r="80">
      <c r="A80" s="82" t="inlineStr">
        <is>
          <t>Other Inventories</t>
        </is>
      </c>
      <c r="B80" s="91" t="n"/>
      <c r="C80" s="91" t="n">
        <v>3787</v>
      </c>
      <c r="D80" s="91" t="n">
        <v>3212</v>
      </c>
      <c r="E80" s="91" t="n">
        <v>2365</v>
      </c>
      <c r="F80" s="91" t="n">
        <v>2668</v>
      </c>
    </row>
    <row r="81">
      <c r="A81" s="82" t="inlineStr">
        <is>
          <t>Finished Goods</t>
        </is>
      </c>
      <c r="B81" s="91" t="n"/>
      <c r="C81" s="91" t="n">
        <v>14438</v>
      </c>
      <c r="D81" s="91" t="n">
        <v>12923</v>
      </c>
      <c r="E81" s="91" t="n">
        <v>13396</v>
      </c>
      <c r="F81" s="91" t="n">
        <v>11642</v>
      </c>
    </row>
    <row r="82">
      <c r="A82" s="82" t="inlineStr">
        <is>
          <t>Raw Materials</t>
        </is>
      </c>
      <c r="B82" s="91" t="n"/>
      <c r="C82" s="91" t="n">
        <v>4711</v>
      </c>
      <c r="D82" s="91" t="n">
        <v>3182</v>
      </c>
      <c r="E82" s="91" t="n">
        <v>3107</v>
      </c>
      <c r="F82" s="91" t="n">
        <v>2353</v>
      </c>
    </row>
    <row r="83">
      <c r="A83" s="82" t="inlineStr">
        <is>
          <t>Receivables</t>
        </is>
      </c>
      <c r="B83" s="91" t="n"/>
      <c r="C83" s="91" t="n">
        <v>59120</v>
      </c>
      <c r="D83" s="91" t="n">
        <v>42801</v>
      </c>
      <c r="E83" s="91" t="n">
        <v>40794</v>
      </c>
      <c r="F83" s="91" t="n">
        <v>36870</v>
      </c>
    </row>
    <row r="84">
      <c r="A84" s="82" t="inlineStr">
        <is>
          <t>Other Receivables</t>
        </is>
      </c>
      <c r="B84" s="91" t="n"/>
      <c r="C84" s="91" t="n">
        <v>28479</v>
      </c>
      <c r="D84" s="91" t="n">
        <v>15281</v>
      </c>
      <c r="E84" s="91" t="n">
        <v>17224</v>
      </c>
      <c r="F84" s="91" t="n">
        <v>14171</v>
      </c>
    </row>
    <row r="85">
      <c r="A85" s="82" t="inlineStr">
        <is>
          <t>Taxes Receivable</t>
        </is>
      </c>
      <c r="B85" s="91" t="n"/>
      <c r="C85" s="91" t="n">
        <v>6263</v>
      </c>
      <c r="D85" s="91" t="n">
        <v>4078</v>
      </c>
      <c r="E85" s="91" t="n">
        <v>4289</v>
      </c>
      <c r="F85" s="91" t="n">
        <v>4140</v>
      </c>
    </row>
    <row r="86">
      <c r="A86" s="82" t="inlineStr">
        <is>
          <t>Accounts Receivable</t>
        </is>
      </c>
      <c r="B86" s="91" t="n"/>
      <c r="C86" s="91" t="n">
        <v>24378</v>
      </c>
      <c r="D86" s="91" t="n">
        <v>23442</v>
      </c>
      <c r="E86" s="91" t="n">
        <v>19281</v>
      </c>
      <c r="F86" s="91" t="n">
        <v>18559</v>
      </c>
    </row>
    <row r="87">
      <c r="A87" s="82" t="inlineStr">
        <is>
          <t>Allowance For Doubtful Accounts Receivable</t>
        </is>
      </c>
      <c r="B87" s="91" t="n"/>
      <c r="C87" s="91" t="n">
        <v>-826</v>
      </c>
      <c r="D87" s="91" t="n">
        <v>-892</v>
      </c>
      <c r="E87" s="91" t="n">
        <v>-902</v>
      </c>
      <c r="F87" s="91" t="n">
        <v>-899</v>
      </c>
    </row>
    <row r="88">
      <c r="A88" s="82" t="inlineStr">
        <is>
          <t>Gross Accounts Receivable</t>
        </is>
      </c>
      <c r="B88" s="91" t="n"/>
      <c r="C88" s="91" t="n">
        <v>25204</v>
      </c>
      <c r="D88" s="91" t="n">
        <v>24334</v>
      </c>
      <c r="E88" s="91" t="n">
        <v>20183</v>
      </c>
      <c r="F88" s="91" t="n">
        <v>19458</v>
      </c>
    </row>
    <row r="89">
      <c r="A89" s="82" t="inlineStr">
        <is>
          <t>Cash Cash Equivalents And Short Term Investments</t>
        </is>
      </c>
      <c r="B89" s="91" t="n"/>
      <c r="C89" s="91" t="n">
        <v>41580</v>
      </c>
      <c r="D89" s="91" t="n">
        <v>33428</v>
      </c>
      <c r="E89" s="91" t="n">
        <v>32351</v>
      </c>
      <c r="F89" s="91" t="n">
        <v>27164</v>
      </c>
    </row>
    <row r="90">
      <c r="A90" s="82" t="inlineStr">
        <is>
          <t>Other Short Term Investments</t>
        </is>
      </c>
      <c r="B90" s="91" t="n"/>
      <c r="C90" s="91" t="n">
        <v>8554</v>
      </c>
      <c r="D90" s="91" t="n">
        <v>6165</v>
      </c>
      <c r="E90" s="91" t="n">
        <v>6507</v>
      </c>
      <c r="F90" s="91" t="n">
        <v>3012</v>
      </c>
    </row>
    <row r="91">
      <c r="A91" s="82" t="inlineStr">
        <is>
          <t>Cash And Cash Equivalents</t>
        </is>
      </c>
      <c r="B91" s="91" t="n"/>
      <c r="C91" s="91" t="n">
        <v>33026</v>
      </c>
      <c r="D91" s="91" t="n">
        <v>27263</v>
      </c>
      <c r="E91" s="91" t="n">
        <v>25844</v>
      </c>
      <c r="F91" s="91" t="n">
        <v>24152</v>
      </c>
    </row>
    <row r="92">
      <c r="A92" s="82" t="inlineStr">
        <is>
          <t>Cash Equivalents</t>
        </is>
      </c>
      <c r="B92" s="91" t="n">
        <v>7798</v>
      </c>
      <c r="C92" s="91" t="n">
        <v>18153</v>
      </c>
      <c r="D92" s="91" t="n">
        <v>10307</v>
      </c>
      <c r="E92" s="91" t="n">
        <v>8369</v>
      </c>
      <c r="F92" s="91" t="n"/>
    </row>
    <row r="93">
      <c r="A93" s="82" t="inlineStr">
        <is>
          <t>Cash Financial</t>
        </is>
      </c>
      <c r="B93" s="91" t="n">
        <v>13544</v>
      </c>
      <c r="C93" s="91" t="n">
        <v>14873</v>
      </c>
      <c r="D93" s="91" t="n">
        <v>16956</v>
      </c>
      <c r="E93" s="91" t="n">
        <v>17475</v>
      </c>
      <c r="F93" s="91" t="n"/>
    </row>
    <row r="94"/>
    <row r="95">
      <c r="A95" s="2" t="inlineStr">
        <is>
          <t>Source : yfinance — à recouper avec les états financiers officiels (10-K / 20-F / document d'enregistrement universel).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Cash-flow — en millions USD</t>
        </is>
      </c>
    </row>
    <row r="2"/>
    <row r="3">
      <c r="A3" s="78" t="inlineStr">
        <is>
          <t>Poste</t>
        </is>
      </c>
      <c r="B3" s="78" t="inlineStr">
        <is>
          <t>2021</t>
        </is>
      </c>
      <c r="C3" s="78" t="inlineStr">
        <is>
          <t>2022</t>
        </is>
      </c>
      <c r="D3" s="78" t="inlineStr">
        <is>
          <t>2023</t>
        </is>
      </c>
      <c r="E3" s="78" t="inlineStr">
        <is>
          <t>2024</t>
        </is>
      </c>
      <c r="F3" s="78" t="inlineStr">
        <is>
          <t>2025</t>
        </is>
      </c>
    </row>
    <row r="4">
      <c r="A4" s="82" t="inlineStr">
        <is>
          <t>Free Cash Flow</t>
        </is>
      </c>
      <c r="B4" s="91" t="n"/>
      <c r="C4" s="91" t="n">
        <v>31677</v>
      </c>
      <c r="D4" s="91" t="n">
        <v>22957</v>
      </c>
      <c r="E4" s="91" t="n">
        <v>15945</v>
      </c>
      <c r="F4" s="91" t="n">
        <v>10390</v>
      </c>
    </row>
    <row r="5">
      <c r="A5" s="82" t="inlineStr">
        <is>
          <t>Repurchase Of Capital Stock</t>
        </is>
      </c>
      <c r="B5" s="91" t="n"/>
      <c r="C5" s="91" t="n">
        <v>-7711</v>
      </c>
      <c r="D5" s="91" t="n">
        <v>-9167</v>
      </c>
      <c r="E5" s="91" t="n">
        <v>-7995</v>
      </c>
      <c r="F5" s="91" t="n">
        <v>-7714</v>
      </c>
    </row>
    <row r="6">
      <c r="A6" s="82" t="inlineStr">
        <is>
          <t>Repayment Of Debt</t>
        </is>
      </c>
      <c r="B6" s="91" t="n"/>
      <c r="C6" s="91" t="n">
        <v>-379</v>
      </c>
      <c r="D6" s="91" t="n">
        <v>-1454</v>
      </c>
      <c r="E6" s="91" t="n">
        <v>-802</v>
      </c>
      <c r="F6" s="91" t="n">
        <v>-1624</v>
      </c>
    </row>
    <row r="7">
      <c r="A7" s="82" t="inlineStr">
        <is>
          <t>Issuance Of Debt</t>
        </is>
      </c>
      <c r="B7" s="91" t="n"/>
      <c r="C7" s="91" t="n">
        <v>1148</v>
      </c>
      <c r="D7" s="91" t="n">
        <v>189</v>
      </c>
      <c r="E7" s="91" t="n">
        <v>7563</v>
      </c>
      <c r="F7" s="91" t="n">
        <v>8163</v>
      </c>
    </row>
    <row r="8">
      <c r="A8" s="82" t="inlineStr">
        <is>
          <t>Issuance Of Capital Stock</t>
        </is>
      </c>
      <c r="B8" s="91" t="n"/>
      <c r="C8" s="91" t="n">
        <v>370</v>
      </c>
      <c r="D8" s="91" t="n">
        <v>383</v>
      </c>
      <c r="E8" s="91" t="n">
        <v>521</v>
      </c>
      <c r="F8" s="91" t="n">
        <v>492</v>
      </c>
    </row>
    <row r="9">
      <c r="A9" s="82" t="inlineStr">
        <is>
          <t>Capital Expenditure</t>
        </is>
      </c>
      <c r="B9" s="91" t="n"/>
      <c r="C9" s="91" t="n">
        <v>-15690</v>
      </c>
      <c r="D9" s="91" t="n">
        <v>-17722</v>
      </c>
      <c r="E9" s="91" t="n">
        <v>-14909</v>
      </c>
      <c r="F9" s="91" t="n">
        <v>-16953</v>
      </c>
    </row>
    <row r="10">
      <c r="A10" s="82" t="inlineStr">
        <is>
          <t>Interest Paid Supplemental Data</t>
        </is>
      </c>
      <c r="B10" s="91" t="n"/>
      <c r="C10" s="91" t="n">
        <v>2292</v>
      </c>
      <c r="D10" s="91" t="n">
        <v>2883</v>
      </c>
      <c r="E10" s="91" t="n">
        <v>2934</v>
      </c>
      <c r="F10" s="91" t="n">
        <v>3051</v>
      </c>
    </row>
    <row r="11">
      <c r="A11" s="82" t="inlineStr">
        <is>
          <t>Income Tax Paid Supplemental Data</t>
        </is>
      </c>
      <c r="B11" s="91" t="n"/>
      <c r="C11" s="91" t="n">
        <v>14486</v>
      </c>
      <c r="D11" s="91" t="n">
        <v>12688</v>
      </c>
      <c r="E11" s="91" t="n">
        <v>10561</v>
      </c>
      <c r="F11" s="91" t="n">
        <v>9622</v>
      </c>
    </row>
    <row r="12">
      <c r="A12" s="82" t="inlineStr">
        <is>
          <t>End Cash Position</t>
        </is>
      </c>
      <c r="B12" s="91" t="n"/>
      <c r="C12" s="91" t="n">
        <v>33026</v>
      </c>
      <c r="D12" s="91" t="n">
        <v>27263</v>
      </c>
      <c r="E12" s="91" t="n">
        <v>25844</v>
      </c>
      <c r="F12" s="91" t="n">
        <v>26202</v>
      </c>
    </row>
    <row r="13">
      <c r="A13" s="82" t="inlineStr">
        <is>
          <t>Beginning Cash Position</t>
        </is>
      </c>
      <c r="B13" s="91" t="n"/>
      <c r="C13" s="91" t="n">
        <v>21342</v>
      </c>
      <c r="D13" s="91" t="n">
        <v>33026</v>
      </c>
      <c r="E13" s="91" t="n">
        <v>27263</v>
      </c>
      <c r="F13" s="91" t="n">
        <v>25844</v>
      </c>
    </row>
    <row r="14">
      <c r="A14" s="82" t="inlineStr">
        <is>
          <t>Effect Of Exchange Rate Changes</t>
        </is>
      </c>
      <c r="B14" s="91" t="n"/>
      <c r="C14" s="91" t="n">
        <v>-1295</v>
      </c>
      <c r="D14" s="91" t="n">
        <v>-258</v>
      </c>
      <c r="E14" s="91" t="n">
        <v>-516</v>
      </c>
      <c r="F14" s="91" t="n">
        <v>1080</v>
      </c>
    </row>
    <row r="15">
      <c r="A15" s="82" t="inlineStr">
        <is>
          <t>Changes In Cash</t>
        </is>
      </c>
      <c r="B15" s="91" t="n"/>
      <c r="C15" s="91" t="n">
        <v>12979</v>
      </c>
      <c r="D15" s="91" t="n">
        <v>-5505</v>
      </c>
      <c r="E15" s="91" t="n">
        <v>-903</v>
      </c>
      <c r="F15" s="91" t="n">
        <v>-722</v>
      </c>
    </row>
    <row r="16">
      <c r="A16" s="82" t="inlineStr">
        <is>
          <t>Financing Cash Flow</t>
        </is>
      </c>
      <c r="B16" s="91" t="n"/>
      <c r="C16" s="91" t="n">
        <v>-19272</v>
      </c>
      <c r="D16" s="91" t="n">
        <v>-29730</v>
      </c>
      <c r="E16" s="91" t="n">
        <v>-14425</v>
      </c>
      <c r="F16" s="91" t="n">
        <v>-9934</v>
      </c>
    </row>
    <row r="17">
      <c r="A17" s="82" t="inlineStr">
        <is>
          <t>Cash Flow From Continuing Financing Activities</t>
        </is>
      </c>
      <c r="B17" s="91" t="n"/>
      <c r="C17" s="91" t="n">
        <v>-19272</v>
      </c>
      <c r="D17" s="91" t="n">
        <v>-29730</v>
      </c>
      <c r="E17" s="91" t="n">
        <v>-14425</v>
      </c>
      <c r="F17" s="91" t="n">
        <v>-9934</v>
      </c>
    </row>
    <row r="18">
      <c r="A18" s="82" t="inlineStr">
        <is>
          <t>Net Other Financing Charges</t>
        </is>
      </c>
      <c r="B18" s="91" t="n"/>
      <c r="C18" s="91" t="n">
        <v>3359</v>
      </c>
      <c r="D18" s="91" t="n">
        <v>2125</v>
      </c>
      <c r="E18" s="91" t="n">
        <v>-853</v>
      </c>
      <c r="F18" s="91" t="n">
        <v>3023</v>
      </c>
    </row>
    <row r="19">
      <c r="A19" s="82" t="inlineStr">
        <is>
          <t>Cash Dividends Paid</t>
        </is>
      </c>
      <c r="B19" s="91" t="n"/>
      <c r="C19" s="91" t="n">
        <v>-9986</v>
      </c>
      <c r="D19" s="91" t="n">
        <v>-7517</v>
      </c>
      <c r="E19" s="91" t="n">
        <v>-7717</v>
      </c>
      <c r="F19" s="91" t="n">
        <v>-8121</v>
      </c>
    </row>
    <row r="20">
      <c r="A20" s="82" t="inlineStr">
        <is>
          <t>Common Stock Dividend Paid</t>
        </is>
      </c>
      <c r="B20" s="91" t="n"/>
      <c r="C20" s="91" t="n">
        <v>-9986</v>
      </c>
      <c r="D20" s="91" t="n">
        <v>-7517</v>
      </c>
      <c r="E20" s="91" t="n">
        <v>-7717</v>
      </c>
      <c r="F20" s="91" t="n">
        <v>-8121</v>
      </c>
    </row>
    <row r="21">
      <c r="A21" s="82" t="inlineStr">
        <is>
          <t>Net Common Stock Issuance</t>
        </is>
      </c>
      <c r="B21" s="91" t="n"/>
      <c r="C21" s="91" t="n">
        <v>-7341</v>
      </c>
      <c r="D21" s="91" t="n">
        <v>-8784</v>
      </c>
      <c r="E21" s="91" t="n">
        <v>-7474</v>
      </c>
      <c r="F21" s="91" t="n">
        <v>-7222</v>
      </c>
    </row>
    <row r="22">
      <c r="A22" s="82" t="inlineStr">
        <is>
          <t>Common Stock Payments</t>
        </is>
      </c>
      <c r="B22" s="91" t="n"/>
      <c r="C22" s="91" t="n">
        <v>-7711</v>
      </c>
      <c r="D22" s="91" t="n">
        <v>-9167</v>
      </c>
      <c r="E22" s="91" t="n">
        <v>-7995</v>
      </c>
      <c r="F22" s="91" t="n">
        <v>-7714</v>
      </c>
    </row>
    <row r="23">
      <c r="A23" s="82" t="inlineStr">
        <is>
          <t>Common Stock Issuance</t>
        </is>
      </c>
      <c r="B23" s="91" t="n"/>
      <c r="C23" s="91" t="n">
        <v>370</v>
      </c>
      <c r="D23" s="91" t="n">
        <v>383</v>
      </c>
      <c r="E23" s="91" t="n">
        <v>521</v>
      </c>
      <c r="F23" s="91" t="n">
        <v>492</v>
      </c>
    </row>
    <row r="24">
      <c r="A24" s="82" t="inlineStr">
        <is>
          <t>Net Issuance Payments Of Debt</t>
        </is>
      </c>
      <c r="B24" s="91" t="n"/>
      <c r="C24" s="91" t="n">
        <v>-5304</v>
      </c>
      <c r="D24" s="91" t="n">
        <v>-15554</v>
      </c>
      <c r="E24" s="91" t="n">
        <v>1619</v>
      </c>
      <c r="F24" s="91" t="n">
        <v>2386</v>
      </c>
    </row>
    <row r="25">
      <c r="A25" s="82" t="inlineStr">
        <is>
          <t>Net Short Term Debt Issuance</t>
        </is>
      </c>
      <c r="B25" s="91" t="n"/>
      <c r="C25" s="91" t="n">
        <v>-6073</v>
      </c>
      <c r="D25" s="91" t="n">
        <v>-14289</v>
      </c>
      <c r="E25" s="91" t="n">
        <v>-5142</v>
      </c>
      <c r="F25" s="91" t="n">
        <v>-4153</v>
      </c>
    </row>
    <row r="26">
      <c r="A26" s="82" t="inlineStr">
        <is>
          <t>Net Long Term Debt Issuance</t>
        </is>
      </c>
      <c r="B26" s="91" t="n"/>
      <c r="C26" s="91" t="n">
        <v>769</v>
      </c>
      <c r="D26" s="91" t="n">
        <v>-1265</v>
      </c>
      <c r="E26" s="91" t="n">
        <v>6761</v>
      </c>
      <c r="F26" s="91" t="n">
        <v>6539</v>
      </c>
    </row>
    <row r="27">
      <c r="A27" s="82" t="inlineStr">
        <is>
          <t>Long Term Debt Payments</t>
        </is>
      </c>
      <c r="B27" s="91" t="n"/>
      <c r="C27" s="91" t="n">
        <v>-379</v>
      </c>
      <c r="D27" s="91" t="n">
        <v>-1454</v>
      </c>
      <c r="E27" s="91" t="n">
        <v>-802</v>
      </c>
      <c r="F27" s="91" t="n">
        <v>-1624</v>
      </c>
    </row>
    <row r="28">
      <c r="A28" s="82" t="inlineStr">
        <is>
          <t>Long Term Debt Issuance</t>
        </is>
      </c>
      <c r="B28" s="91" t="n"/>
      <c r="C28" s="91" t="n">
        <v>1148</v>
      </c>
      <c r="D28" s="91" t="n">
        <v>189</v>
      </c>
      <c r="E28" s="91" t="n">
        <v>7563</v>
      </c>
      <c r="F28" s="91" t="n">
        <v>8163</v>
      </c>
    </row>
    <row r="29">
      <c r="A29" s="82" t="inlineStr">
        <is>
          <t>Investing Cash Flow</t>
        </is>
      </c>
      <c r="B29" s="91" t="n"/>
      <c r="C29" s="91" t="n">
        <v>-15116</v>
      </c>
      <c r="D29" s="91" t="n">
        <v>-16454</v>
      </c>
      <c r="E29" s="91" t="n">
        <v>-17332</v>
      </c>
      <c r="F29" s="91" t="n">
        <v>-18131</v>
      </c>
    </row>
    <row r="30">
      <c r="A30" s="82" t="inlineStr">
        <is>
          <t>Cash Flow From Continuing Investing Activities</t>
        </is>
      </c>
      <c r="B30" s="91" t="n"/>
      <c r="C30" s="91" t="n">
        <v>-15116</v>
      </c>
      <c r="D30" s="91" t="n">
        <v>-16454</v>
      </c>
      <c r="E30" s="91" t="n">
        <v>-17332</v>
      </c>
      <c r="F30" s="91" t="n">
        <v>-18131</v>
      </c>
    </row>
    <row r="31">
      <c r="A31" s="82" t="inlineStr">
        <is>
          <t>Net Other Investing Changes</t>
        </is>
      </c>
      <c r="B31" s="91" t="n"/>
      <c r="C31" s="91" t="n">
        <v>1758</v>
      </c>
      <c r="D31" s="91" t="n">
        <v>-1323</v>
      </c>
      <c r="E31" s="91" t="n">
        <v>-1098</v>
      </c>
      <c r="F31" s="91" t="n">
        <v>-788</v>
      </c>
    </row>
    <row r="32">
      <c r="A32" s="82" t="inlineStr">
        <is>
          <t>Net Investment Purchase And Sale</t>
        </is>
      </c>
      <c r="B32" s="91" t="n"/>
      <c r="C32" s="91" t="n">
        <v>577</v>
      </c>
      <c r="D32" s="91" t="n">
        <v>490</v>
      </c>
      <c r="E32" s="91" t="n">
        <v>347</v>
      </c>
      <c r="F32" s="91" t="n">
        <v>329</v>
      </c>
    </row>
    <row r="33">
      <c r="A33" s="82" t="inlineStr">
        <is>
          <t>Sale Of Investment</t>
        </is>
      </c>
      <c r="B33" s="91" t="n"/>
      <c r="C33" s="91" t="n">
        <v>577</v>
      </c>
      <c r="D33" s="91" t="n">
        <v>490</v>
      </c>
      <c r="E33" s="91" t="n">
        <v>347</v>
      </c>
      <c r="F33" s="91" t="n">
        <v>329</v>
      </c>
    </row>
    <row r="34">
      <c r="A34" s="82" t="inlineStr">
        <is>
          <t>Net Business Purchase And Sale</t>
        </is>
      </c>
      <c r="B34" s="91" t="n"/>
      <c r="C34" s="91" t="n">
        <v>-2301</v>
      </c>
      <c r="D34" s="91" t="n">
        <v>-1688</v>
      </c>
      <c r="E34" s="91" t="n">
        <v>-2399</v>
      </c>
      <c r="F34" s="91" t="n">
        <v>-2432</v>
      </c>
    </row>
    <row r="35">
      <c r="A35" s="82" t="inlineStr">
        <is>
          <t>Sale Of Business</t>
        </is>
      </c>
      <c r="B35" s="91" t="n"/>
      <c r="C35" s="91" t="n">
        <v>835</v>
      </c>
      <c r="D35" s="91" t="n">
        <v>3561</v>
      </c>
      <c r="E35" s="91" t="n">
        <v>2167</v>
      </c>
      <c r="F35" s="91" t="n">
        <v>855</v>
      </c>
    </row>
    <row r="36">
      <c r="A36" s="82" t="inlineStr">
        <is>
          <t>Purchase Of Business</t>
        </is>
      </c>
      <c r="B36" s="91" t="n"/>
      <c r="C36" s="91" t="n">
        <v>-3136</v>
      </c>
      <c r="D36" s="91" t="n">
        <v>-5249</v>
      </c>
      <c r="E36" s="91" t="n">
        <v>-4566</v>
      </c>
      <c r="F36" s="91" t="n">
        <v>-3287</v>
      </c>
    </row>
    <row r="37">
      <c r="A37" s="82" t="inlineStr">
        <is>
          <t>Net Intangibles Purchase And Sale</t>
        </is>
      </c>
      <c r="B37" s="91" t="n"/>
      <c r="C37" s="91" t="n">
        <v>-15150</v>
      </c>
      <c r="D37" s="91" t="n">
        <v>-13933</v>
      </c>
      <c r="E37" s="91" t="n">
        <v>-14182</v>
      </c>
      <c r="F37" s="91" t="n">
        <v>-15240</v>
      </c>
    </row>
    <row r="38">
      <c r="A38" s="82" t="inlineStr">
        <is>
          <t>Sale Of Intangibles</t>
        </is>
      </c>
      <c r="B38" s="91" t="n"/>
      <c r="C38" s="91" t="n">
        <v>540</v>
      </c>
      <c r="D38" s="91" t="n">
        <v>3789</v>
      </c>
      <c r="E38" s="91" t="n">
        <v>727</v>
      </c>
      <c r="F38" s="91" t="n">
        <v>1713</v>
      </c>
    </row>
    <row r="39">
      <c r="A39" s="82" t="inlineStr">
        <is>
          <t>Purchase Of Intangibles</t>
        </is>
      </c>
      <c r="B39" s="91" t="n"/>
      <c r="C39" s="91" t="n">
        <v>-15690</v>
      </c>
      <c r="D39" s="91" t="n">
        <v>-17722</v>
      </c>
      <c r="E39" s="91" t="n">
        <v>-14909</v>
      </c>
      <c r="F39" s="91" t="n">
        <v>-16953</v>
      </c>
    </row>
    <row r="40">
      <c r="A40" s="82" t="inlineStr">
        <is>
          <t>Operating Cash Flow</t>
        </is>
      </c>
      <c r="B40" s="91" t="n"/>
      <c r="C40" s="91" t="n">
        <v>47367</v>
      </c>
      <c r="D40" s="91" t="n">
        <v>40679</v>
      </c>
      <c r="E40" s="91" t="n">
        <v>30854</v>
      </c>
      <c r="F40" s="91" t="n">
        <v>27343</v>
      </c>
    </row>
    <row r="41">
      <c r="A41" s="82" t="inlineStr">
        <is>
          <t>Cash Flow From Continuing Operating Activities</t>
        </is>
      </c>
      <c r="B41" s="91" t="n"/>
      <c r="C41" s="91" t="n">
        <v>47367</v>
      </c>
      <c r="D41" s="91" t="n">
        <v>40679</v>
      </c>
      <c r="E41" s="91" t="n">
        <v>30854</v>
      </c>
      <c r="F41" s="91" t="n">
        <v>27343</v>
      </c>
    </row>
    <row r="42">
      <c r="A42" s="82" t="inlineStr">
        <is>
          <t>Change In Working Capital</t>
        </is>
      </c>
      <c r="B42" s="91" t="n"/>
      <c r="C42" s="91" t="n">
        <v>1191</v>
      </c>
      <c r="D42" s="91" t="n">
        <v>6091</v>
      </c>
      <c r="E42" s="91" t="n">
        <v>2364</v>
      </c>
      <c r="F42" s="91" t="n">
        <v>1284</v>
      </c>
    </row>
    <row r="43">
      <c r="A43" s="82" t="inlineStr">
        <is>
          <t>Change In Other Working Capital</t>
        </is>
      </c>
      <c r="B43" s="91" t="n">
        <v>962</v>
      </c>
      <c r="C43" s="91" t="n"/>
      <c r="D43" s="91" t="n"/>
      <c r="E43" s="91" t="n"/>
      <c r="F43" s="91" t="n"/>
    </row>
    <row r="44">
      <c r="A44" s="82" t="inlineStr">
        <is>
          <t>Change In Other Current Assets</t>
        </is>
      </c>
      <c r="B44" s="91" t="n"/>
      <c r="C44" s="91" t="n">
        <v>-3523</v>
      </c>
      <c r="D44" s="91" t="n">
        <v>14860</v>
      </c>
      <c r="E44" s="91" t="n">
        <v>-3556</v>
      </c>
      <c r="F44" s="91" t="n">
        <v>3266</v>
      </c>
    </row>
    <row r="45">
      <c r="A45" s="82" t="inlineStr">
        <is>
          <t>Change In Payables And Accrued Expense</t>
        </is>
      </c>
      <c r="B45" s="91" t="n"/>
      <c r="C45" s="91" t="n">
        <v>11791</v>
      </c>
      <c r="D45" s="91" t="n">
        <v>-12234</v>
      </c>
      <c r="E45" s="91" t="n">
        <v>2239</v>
      </c>
      <c r="F45" s="91" t="n">
        <v>-6236</v>
      </c>
    </row>
    <row r="46">
      <c r="A46" s="82" t="inlineStr">
        <is>
          <t>Change In Payable</t>
        </is>
      </c>
      <c r="B46" s="91" t="n"/>
      <c r="C46" s="91" t="n">
        <v>11791</v>
      </c>
      <c r="D46" s="91" t="n">
        <v>-12234</v>
      </c>
      <c r="E46" s="91" t="n">
        <v>2239</v>
      </c>
      <c r="F46" s="91" t="n">
        <v>-6236</v>
      </c>
    </row>
    <row r="47">
      <c r="A47" s="82" t="inlineStr">
        <is>
          <t>Change In Account Payable</t>
        </is>
      </c>
      <c r="B47" s="91" t="n"/>
      <c r="C47" s="91" t="n">
        <v>5313</v>
      </c>
      <c r="D47" s="91" t="n">
        <v>572</v>
      </c>
      <c r="E47" s="91" t="n">
        <v>-889</v>
      </c>
      <c r="F47" s="91" t="n">
        <v>-3198</v>
      </c>
    </row>
    <row r="48">
      <c r="A48" s="82" t="inlineStr">
        <is>
          <t>Change In Inventory</t>
        </is>
      </c>
      <c r="B48" s="91" t="n"/>
      <c r="C48" s="91" t="n">
        <v>-3805</v>
      </c>
      <c r="D48" s="91" t="n">
        <v>3159</v>
      </c>
      <c r="E48" s="91" t="n">
        <v>-203</v>
      </c>
      <c r="F48" s="91" t="n">
        <v>2848</v>
      </c>
    </row>
    <row r="49">
      <c r="A49" s="82" t="inlineStr">
        <is>
          <t>Change In Receivables</t>
        </is>
      </c>
      <c r="B49" s="91" t="n"/>
      <c r="C49" s="91" t="n">
        <v>-3272</v>
      </c>
      <c r="D49" s="91" t="n">
        <v>306</v>
      </c>
      <c r="E49" s="91" t="n">
        <v>3884</v>
      </c>
      <c r="F49" s="91" t="n">
        <v>1406</v>
      </c>
    </row>
    <row r="50">
      <c r="A50" s="82" t="inlineStr">
        <is>
          <t>Changes In Account Receivables</t>
        </is>
      </c>
      <c r="B50" s="91" t="n"/>
      <c r="C50" s="91" t="n">
        <v>-3272</v>
      </c>
      <c r="D50" s="91" t="n">
        <v>306</v>
      </c>
      <c r="E50" s="91" t="n">
        <v>3884</v>
      </c>
      <c r="F50" s="91" t="n">
        <v>1406</v>
      </c>
    </row>
    <row r="51">
      <c r="A51" s="82" t="inlineStr">
        <is>
          <t>Other Non Cash Items</t>
        </is>
      </c>
      <c r="B51" s="91" t="n"/>
      <c r="C51" s="91" t="n">
        <v>432</v>
      </c>
      <c r="D51" s="91" t="n">
        <v>1250</v>
      </c>
      <c r="E51" s="91" t="n">
        <v>535</v>
      </c>
      <c r="F51" s="91" t="n">
        <v>422</v>
      </c>
    </row>
    <row r="52">
      <c r="A52" s="82" t="inlineStr">
        <is>
          <t>Provisionand Write Offof Assets</t>
        </is>
      </c>
      <c r="B52" s="91" t="n"/>
      <c r="C52" s="91" t="n">
        <v>2177</v>
      </c>
      <c r="D52" s="91" t="n">
        <v>257</v>
      </c>
      <c r="E52" s="91" t="n">
        <v>-373</v>
      </c>
      <c r="F52" s="91" t="n">
        <v>617</v>
      </c>
    </row>
    <row r="53">
      <c r="A53" s="82" t="inlineStr">
        <is>
          <t>Deferred Tax</t>
        </is>
      </c>
      <c r="B53" s="91" t="n"/>
      <c r="C53" s="91" t="n">
        <v>2417</v>
      </c>
      <c r="D53" s="91" t="n">
        <v>556</v>
      </c>
      <c r="E53" s="91" t="n">
        <v>563</v>
      </c>
      <c r="F53" s="91" t="n">
        <v>307</v>
      </c>
    </row>
    <row r="54">
      <c r="A54" s="82" t="inlineStr">
        <is>
          <t>Deferred Income Tax</t>
        </is>
      </c>
      <c r="B54" s="91" t="n"/>
      <c r="C54" s="91" t="n">
        <v>2417</v>
      </c>
      <c r="D54" s="91" t="n">
        <v>556</v>
      </c>
      <c r="E54" s="91" t="n">
        <v>563</v>
      </c>
      <c r="F54" s="91" t="n">
        <v>307</v>
      </c>
    </row>
    <row r="55">
      <c r="A55" s="82" t="inlineStr">
        <is>
          <t>Depreciation Amortization Depletion</t>
        </is>
      </c>
      <c r="B55" s="91" t="n"/>
      <c r="C55" s="91" t="n">
        <v>13680</v>
      </c>
      <c r="D55" s="91" t="n">
        <v>13818</v>
      </c>
      <c r="E55" s="91" t="n">
        <v>13107</v>
      </c>
      <c r="F55" s="91" t="n">
        <v>13847</v>
      </c>
    </row>
    <row r="56">
      <c r="A56" s="82" t="inlineStr">
        <is>
          <t>Depreciation And Amortization</t>
        </is>
      </c>
      <c r="B56" s="91" t="n"/>
      <c r="C56" s="91" t="n">
        <v>13680</v>
      </c>
      <c r="D56" s="91" t="n">
        <v>13818</v>
      </c>
      <c r="E56" s="91" t="n">
        <v>13107</v>
      </c>
      <c r="F56" s="91" t="n">
        <v>13847</v>
      </c>
    </row>
    <row r="57">
      <c r="A57" s="82" t="inlineStr">
        <is>
          <t>Depreciation</t>
        </is>
      </c>
      <c r="B57" s="91" t="n"/>
      <c r="C57" s="91" t="n">
        <v>13680</v>
      </c>
      <c r="D57" s="91" t="n">
        <v>13818</v>
      </c>
      <c r="E57" s="91" t="n">
        <v>13107</v>
      </c>
      <c r="F57" s="91" t="n">
        <v>13847</v>
      </c>
    </row>
    <row r="58">
      <c r="A58" s="82" t="inlineStr">
        <is>
          <t>Operating Gains Losses</t>
        </is>
      </c>
      <c r="B58" s="91" t="n"/>
      <c r="C58" s="91" t="n">
        <v>6426</v>
      </c>
      <c r="D58" s="91" t="n">
        <v>-2803</v>
      </c>
      <c r="E58" s="91" t="n">
        <v>-1373</v>
      </c>
      <c r="F58" s="91" t="n">
        <v>-2491</v>
      </c>
    </row>
    <row r="59">
      <c r="A59" s="82" t="inlineStr">
        <is>
          <t>Earnings Losses From Equity Investments</t>
        </is>
      </c>
      <c r="B59" s="91" t="n"/>
      <c r="C59" s="91" t="n">
        <v>6057</v>
      </c>
      <c r="D59" s="91" t="n">
        <v>649</v>
      </c>
      <c r="E59" s="91" t="n">
        <v>124</v>
      </c>
      <c r="F59" s="91" t="n">
        <v>-923</v>
      </c>
    </row>
    <row r="60">
      <c r="A60" s="82" t="inlineStr">
        <is>
          <t>Net Income From Continuing Operations</t>
        </is>
      </c>
      <c r="B60" s="91" t="n"/>
      <c r="C60" s="91" t="n">
        <v>21044</v>
      </c>
      <c r="D60" s="91" t="n">
        <v>21510</v>
      </c>
      <c r="E60" s="91" t="n">
        <v>16031</v>
      </c>
      <c r="F60" s="91" t="n">
        <v>13357</v>
      </c>
    </row>
    <row r="61"/>
    <row r="62">
      <c r="A62" s="2" t="inlineStr">
        <is>
          <t>Source : yfinance — à recouper avec les états financiers officiels (10-K / 20-F / document d'enregistrement universel).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2026-09-21T07:26:50Z</dcterms:created>
  <dcterms:modified xmlns:dcterms="http://purl.org/dc/terms/" xmlns:xsi="http://www.w3.org/2001/XMLSchema-instance" xsi:type="dcterms:W3CDTF">2026-09-21T07:26:50Z</dcterms:modified>
</cp:coreProperties>
</file>