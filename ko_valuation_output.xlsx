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DCF - Modèle" sheetId="2" state="visible" r:id="rId4"/>
    <sheet name="DCF - Sensibilité" sheetId="3" state="visible" r:id="rId5"/>
    <sheet name="Comps - Peers" sheetId="4" state="visible" r:id="rId6"/>
    <sheet name="Comps - Résultat" sheetId="5" state="visible" r:id="rId7"/>
    <sheet name="Football Field" sheetId="6" state="visible" r:id="rId8"/>
    <sheet name="Compte de résultat" sheetId="7" state="visible" r:id="rId9"/>
    <sheet name="Bilan" sheetId="8" state="visible" r:id="rId10"/>
    <sheet name="Cash-flo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<sst xmlns="http://schemas.openxmlformats.org/spreadsheetml/2006/main" count="377" uniqueCount="340">
  <si>
    <t xml:space="preserve">Synthèse de valorisation — KO</t>
  </si>
  <si>
    <t xml:space="preserve">Généré le 21/09/2026</t>
  </si>
  <si>
    <t xml:space="preserve">VALORISATION</t>
  </si>
  <si>
    <t xml:space="preserve">Prix de marché actuel</t>
  </si>
  <si>
    <t xml:space="preserve">Valeur par action — DCF (scénario actif)</t>
  </si>
  <si>
    <t xml:space="preserve">Scénario actif</t>
  </si>
  <si>
    <t xml:space="preserve">Valeur par action — Comparables (moyenne)</t>
  </si>
  <si>
    <t xml:space="preserve">Ratio DCF / marché</t>
  </si>
  <si>
    <t xml:space="preserve">WACC</t>
  </si>
  <si>
    <t xml:space="preserve">Croissance perpétuelle retenue</t>
  </si>
  <si>
    <t xml:space="preserve">Marge d'EBIT retenue</t>
  </si>
  <si>
    <t xml:space="preserve">SCÉNARIOS (SNAPSHOT PYTHON)</t>
  </si>
  <si>
    <t xml:space="preserve">Bear</t>
  </si>
  <si>
    <t xml:space="preserve">Base</t>
  </si>
  <si>
    <t xml:space="preserve">Bull</t>
  </si>
  <si>
    <t xml:space="preserve">CONSENSUS ANALYSTES</t>
  </si>
  <si>
    <t xml:space="preserve">Prix cible moyen</t>
  </si>
  <si>
    <t xml:space="preserve">Range analystes (low - high)</t>
  </si>
  <si>
    <t xml:space="preserve">75.00 - 104.00</t>
  </si>
  <si>
    <t xml:space="preserve">Nombre d'analystes</t>
  </si>
  <si>
    <t xml:space="preserve">Recommandation</t>
  </si>
  <si>
    <t xml:space="preserve">buy</t>
  </si>
  <si>
    <t xml:space="preserve">COMPARABLES RETENUS</t>
  </si>
  <si>
    <t xml:space="preserve">PEP, KDP, MNST, CELH, FIZZ, STZ</t>
  </si>
  <si>
    <t xml:space="preserve">LÉGENDE</t>
  </si>
  <si>
    <t xml:space="preserve">Bleu</t>
  </si>
  <si>
    <t xml:space="preserve">Hypothèse modifiable (input)</t>
  </si>
  <si>
    <t xml:space="preserve">Noir</t>
  </si>
  <si>
    <t xml:space="preserve">Formule calculée</t>
  </si>
  <si>
    <t xml:space="preserve">Vert</t>
  </si>
  <si>
    <t xml:space="preserve">Lien vers un autre onglet</t>
  </si>
  <si>
    <t xml:space="preserve">Jaune</t>
  </si>
  <si>
    <t xml:space="preserve">Résultat clé (surligné)</t>
  </si>
  <si>
    <t xml:space="preserve">DCF — KO</t>
  </si>
  <si>
    <t xml:space="preserve">Bleu = hypothèse modifiable  |  Noir = formule  |  Jaune = résultat clé</t>
  </si>
  <si>
    <t xml:space="preserve">HYPOTHÈSES</t>
  </si>
  <si>
    <t xml:space="preserve">Taux sans risque</t>
  </si>
  <si>
    <t xml:space="preserve">10Y US Treasury — U.S. Department of the Treasury (home.treasury.gov/resource-center/data-chart-center/interest-rates) ou FRED, série DGS10.</t>
  </si>
  <si>
    <t xml:space="preserve">Prime de risque marché</t>
  </si>
  <si>
    <t xml:space="preserve">Equity Risk Premium (US) — Damodaran, NYU Stern (pages.stern.nyu.edu/~adamodar).</t>
  </si>
  <si>
    <t xml:space="preserve">Beta</t>
  </si>
  <si>
    <t xml:space="preserve">yfinance (5Y monthly vs S&amp;P 500). À recouper avec Bloomberg/Refinitiv si la valeur semble aberrante, ou avec le beta moyen des comparables.</t>
  </si>
  <si>
    <t xml:space="preserve">Coût de la dette (avant impôt)</t>
  </si>
  <si>
    <t xml:space="preserve">Approximé par le taux d'intérêt moyen sur la dette existante (notes annexes des états financiers) ou le spread de crédit observé.</t>
  </si>
  <si>
    <t xml:space="preserve">Taux d'imposition</t>
  </si>
  <si>
    <t xml:space="preserve">Taux effectif observé sur les derniers comptes annuels de la société (10-K / 20-F / document d'enregistrement universel).</t>
  </si>
  <si>
    <t xml:space="preserve">Market cap (equity, M)</t>
  </si>
  <si>
    <t xml:space="preserve">Dette totale (M)</t>
  </si>
  <si>
    <t xml:space="preserve">Dette nette (M)</t>
  </si>
  <si>
    <t xml:space="preserve">Actions en circulation (M)</t>
  </si>
  <si>
    <t xml:space="preserve">Capex (% du CA)</t>
  </si>
  <si>
    <t xml:space="preserve">D&amp;A (% du CA)</t>
  </si>
  <si>
    <t xml:space="preserve">Variation du BFR (% du CA)</t>
  </si>
  <si>
    <t xml:space="preserve">WACC (CAPM)</t>
  </si>
  <si>
    <t xml:space="preserve">Coût des fonds propres (CAPM)</t>
  </si>
  <si>
    <t xml:space="preserve">Poids Equity</t>
  </si>
  <si>
    <t xml:space="preserve">Poids Dette</t>
  </si>
  <si>
    <t xml:space="preserve">SCÉNARIO ACTIF</t>
  </si>
  <si>
    <t xml:space="preserve">Sélecteur (1 = Bear, 2 = Base, 3 = Bull)</t>
  </si>
  <si>
    <t xml:space="preserve">Retenu (actif)</t>
  </si>
  <si>
    <t xml:space="preserve">Marge d'EBIT</t>
  </si>
  <si>
    <t xml:space="preserve">Moyenne des 3 derniers exercices (yfinance) (Bear/Bull = delta ± 2% vs Base)</t>
  </si>
  <si>
    <t xml:space="preserve">Croissance perpétuelle (g)</t>
  </si>
  <si>
    <t xml:space="preserve">CROISSANCE DU CA PAR SCÉNARIO (%)</t>
  </si>
  <si>
    <t xml:space="preserve">Année</t>
  </si>
  <si>
    <t xml:space="preserve">N+1</t>
  </si>
  <si>
    <t xml:space="preserve">N+2</t>
  </si>
  <si>
    <t xml:space="preserve">N+3</t>
  </si>
  <si>
    <t xml:space="preserve">N+4</t>
  </si>
  <si>
    <t xml:space="preserve">N+5</t>
  </si>
  <si>
    <t xml:space="preserve">Retenue (active)</t>
  </si>
  <si>
    <t xml:space="preserve">PROJECTION DES FLUX DE TRÉSORERIE DISPONIBLES</t>
  </si>
  <si>
    <t xml:space="preserve">CA de référence (dernier exercice, M)</t>
  </si>
  <si>
    <t xml:space="preserve">Revenus (M)</t>
  </si>
  <si>
    <t xml:space="preserve">EBIT (M)</t>
  </si>
  <si>
    <t xml:space="preserve">NOPAT (M)</t>
  </si>
  <si>
    <t xml:space="preserve">D&amp;A (M)</t>
  </si>
  <si>
    <t xml:space="preserve">Capex (M)</t>
  </si>
  <si>
    <t xml:space="preserve">Variation du BFR (M)</t>
  </si>
  <si>
    <t xml:space="preserve">FCF (M)</t>
  </si>
  <si>
    <t xml:space="preserve">Période (t)</t>
  </si>
  <si>
    <t xml:space="preserve">Facteur d'actualisation</t>
  </si>
  <si>
    <t xml:space="preserve">VA des FCF (M)</t>
  </si>
  <si>
    <t xml:space="preserve">VALEUR TERMINALE</t>
  </si>
  <si>
    <t xml:space="preserve">Valeur terminale (M)</t>
  </si>
  <si>
    <t xml:space="preserve">VA de la valeur terminale (M)</t>
  </si>
  <si>
    <t xml:space="preserve">RÉSULTATS</t>
  </si>
  <si>
    <t xml:space="preserve">Somme des VA des FCF (M)</t>
  </si>
  <si>
    <t xml:space="preserve">Valeur d'entreprise — VE (M)</t>
  </si>
  <si>
    <t xml:space="preserve">Valeur des capitaux propres (M)</t>
  </si>
  <si>
    <t xml:space="preserve">Nombre d'actions (M)</t>
  </si>
  <si>
    <t xml:space="preserve">Valeur par action (DCF)</t>
  </si>
  <si>
    <t xml:space="preserve">Sensibilité — Valeur par action (scénario actif)</t>
  </si>
  <si>
    <t xml:space="preserve">Recalculée par formule à partir de la feuille DCF - Modèle : toute modification des FCF ou du scénario actif s'y répercute automatiquement.</t>
  </si>
  <si>
    <t xml:space="preserve">WACC \ g</t>
  </si>
  <si>
    <t xml:space="preserve">Comparables boursiers</t>
  </si>
  <si>
    <t xml:space="preserve">Ticker</t>
  </si>
  <si>
    <t xml:space="preserve">Nom</t>
  </si>
  <si>
    <t xml:space="preserve">Market Cap (M)</t>
  </si>
  <si>
    <t xml:space="preserve">EV (M)</t>
  </si>
  <si>
    <t xml:space="preserve">P/E</t>
  </si>
  <si>
    <t xml:space="preserve">Fwd P/E</t>
  </si>
  <si>
    <t xml:space="preserve">EV/EBITDA</t>
  </si>
  <si>
    <t xml:space="preserve">EV/Sales</t>
  </si>
  <si>
    <t xml:space="preserve">PEP</t>
  </si>
  <si>
    <t xml:space="preserve">Pepsico, Inc.</t>
  </si>
  <si>
    <t xml:space="preserve">KDP</t>
  </si>
  <si>
    <t xml:space="preserve">Keurig Dr Pepper Inc.</t>
  </si>
  <si>
    <t xml:space="preserve">MNST</t>
  </si>
  <si>
    <t xml:space="preserve">Monster Beverage Corporation</t>
  </si>
  <si>
    <t xml:space="preserve">CELH</t>
  </si>
  <si>
    <t xml:space="preserve">Celsius Holdings, Inc.</t>
  </si>
  <si>
    <t xml:space="preserve">FIZZ</t>
  </si>
  <si>
    <t xml:space="preserve">National Beverage Corp.</t>
  </si>
  <si>
    <t xml:space="preserve">STZ</t>
  </si>
  <si>
    <t xml:space="preserve">Constellation Brands, Inc.</t>
  </si>
  <si>
    <t xml:space="preserve">Source : yfinance, données de marché à la date d'exécution du script.</t>
  </si>
  <si>
    <t xml:space="preserve">Valorisation par comparables</t>
  </si>
  <si>
    <t xml:space="preserve">Métriques de la cible (M)</t>
  </si>
  <si>
    <t xml:space="preserve">Revenue (M)</t>
  </si>
  <si>
    <t xml:space="preserve">EBITDA (M)</t>
  </si>
  <si>
    <t xml:space="preserve">Net income (M)</t>
  </si>
  <si>
    <t xml:space="preserve">Méthode</t>
  </si>
  <si>
    <t xml:space="preserve">Multiple médian peers</t>
  </si>
  <si>
    <t xml:space="preserve">Valeur implicite (M)</t>
  </si>
  <si>
    <t xml:space="preserve">Valeur par action implicite</t>
  </si>
  <si>
    <t xml:space="preserve">Moyenne des méthodes</t>
  </si>
  <si>
    <t xml:space="preserve">Football Field — Fourchettes de valorisation</t>
  </si>
  <si>
    <t xml:space="preserve">Snapshot calculé à la génération du script à partir des scénarios Bear/Bull du DCF, du min-max des comparables et du range 52 semaines.</t>
  </si>
  <si>
    <t xml:space="preserve">Low</t>
  </si>
  <si>
    <t xml:space="preserve">Range</t>
  </si>
  <si>
    <t xml:space="preserve">High</t>
  </si>
  <si>
    <t xml:space="preserve">DCF (Bear-Bull)</t>
  </si>
  <si>
    <t xml:space="preserve">Comparables (min-max)</t>
  </si>
  <si>
    <t xml:space="preserve">52 semaines (marché)</t>
  </si>
  <si>
    <t xml:space="preserve">Compte de résultat — en millions USD</t>
  </si>
  <si>
    <t xml:space="preserve">Poste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</si>
  <si>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</si>
  <si>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</si>
  <si>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</si>
  <si>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</si>
  <si>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</si>
  <si>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Tax Effect Of Unusual Items</t>
  </si>
  <si>
    <t xml:space="preserve">Tax Rate For Calcs</t>
  </si>
  <si>
    <t xml:space="preserve">Normalized EBITDA</t>
  </si>
  <si>
    <t xml:space="preserve">Total Unusual Items</t>
  </si>
  <si>
    <t xml:space="preserve">Total Unusual Items Excluding Goodwill</t>
  </si>
  <si>
    <t xml:space="preserve">Net Income From Continuing Operation Net Minority Interest</t>
  </si>
  <si>
    <t xml:space="preserve">Reconciled Depreciation</t>
  </si>
  <si>
    <t xml:space="preserve">Reconciled Cost Of Revenue</t>
  </si>
  <si>
    <t xml:space="preserve">EBITDA</t>
  </si>
  <si>
    <t xml:space="preserve">EBIT</t>
  </si>
  <si>
    <t xml:space="preserve">Net Interest Income</t>
  </si>
  <si>
    <t xml:space="preserve">Interest Expense</t>
  </si>
  <si>
    <t xml:space="preserve">Interest Income</t>
  </si>
  <si>
    <t xml:space="preserve">Normalized Income</t>
  </si>
  <si>
    <t xml:space="preserve">Net Income From Continuing And Discontinued Operation</t>
  </si>
  <si>
    <t xml:space="preserve">Total Expenses</t>
  </si>
  <si>
    <t xml:space="preserve">Total Operating Income As Reported</t>
  </si>
  <si>
    <t xml:space="preserve">Diluted Average Shares</t>
  </si>
  <si>
    <t xml:space="preserve">Basic Average Shares</t>
  </si>
  <si>
    <t xml:space="preserve">Diluted EPS</t>
  </si>
  <si>
    <t xml:space="preserve">Basic EPS</t>
  </si>
  <si>
    <t xml:space="preserve">Diluted NI Availto Com Stockholders</t>
  </si>
  <si>
    <t xml:space="preserve">Net Income Common Stockholders</t>
  </si>
  <si>
    <t xml:space="preserve">Net Income</t>
  </si>
  <si>
    <t xml:space="preserve">Minority Interests</t>
  </si>
  <si>
    <t xml:space="preserve">Net Income Including Noncontrolling Interests</t>
  </si>
  <si>
    <t xml:space="preserve">Net Income Continuous Operations</t>
  </si>
  <si>
    <t xml:space="preserve">Tax Provision</t>
  </si>
  <si>
    <t xml:space="preserve">Pretax Income</t>
  </si>
  <si>
    <t xml:space="preserve">Other Income Expense</t>
  </si>
  <si>
    <t xml:space="preserve">Other Non Operating Income Expenses</t>
  </si>
  <si>
    <t xml:space="preserve">Special Income Charges</t>
  </si>
  <si>
    <t xml:space="preserve">Gain On Sale Of Ppe</t>
  </si>
  <si>
    <t xml:space="preserve">Gain On Sale Of Business</t>
  </si>
  <si>
    <t xml:space="preserve">Other Special Charges</t>
  </si>
  <si>
    <t xml:space="preserve">Write Off</t>
  </si>
  <si>
    <t xml:space="preserve">Impairment Of Capital Assets</t>
  </si>
  <si>
    <t xml:space="preserve">Restructuring And Mergern Acquisition</t>
  </si>
  <si>
    <t xml:space="preserve">Earnings From Equity Interest</t>
  </si>
  <si>
    <t xml:space="preserve">Gain On Sale Of Security</t>
  </si>
  <si>
    <t xml:space="preserve">Net Non Operating Interest Income Expense</t>
  </si>
  <si>
    <t xml:space="preserve">Interest Expense Non Operating</t>
  </si>
  <si>
    <t xml:space="preserve">Interest Income Non Operating</t>
  </si>
  <si>
    <t xml:space="preserve">Operating Income</t>
  </si>
  <si>
    <t xml:space="preserve">Operating Expense</t>
  </si>
  <si>
    <t xml:space="preserve">Other Operating Expenses</t>
  </si>
  <si>
    <t xml:space="preserve">Depreciation Amortization Depletion Income Statement</t>
  </si>
  <si>
    <t xml:space="preserve">Depreciation And Amortization In Income Statement</t>
  </si>
  <si>
    <t xml:space="preserve">Amortization</t>
  </si>
  <si>
    <t xml:space="preserve">Amortization Of Intangibles Income Statement</t>
  </si>
  <si>
    <t xml:space="preserve">Selling General And Administration</t>
  </si>
  <si>
    <t xml:space="preserve">Selling And Marketing Expense</t>
  </si>
  <si>
    <t xml:space="preserve">General And Administrative Expense</t>
  </si>
  <si>
    <t xml:space="preserve">Other Gand A</t>
  </si>
  <si>
    <t xml:space="preserve">Salaries And Wages</t>
  </si>
  <si>
    <t xml:space="preserve">Gross Profit</t>
  </si>
  <si>
    <t xml:space="preserve">Cost Of Revenue</t>
  </si>
  <si>
    <t xml:space="preserve">Total Revenue</t>
  </si>
  <si>
    <t xml:space="preserve">Operating Revenue</t>
  </si>
  <si>
    <t xml:space="preserve">Source : yfinance — à recouper avec les états financiers officiels (10-K / 20-F / document d'enregistrement universel).</t>
  </si>
  <si>
    <t xml:space="preserve">Bilan — en millions USD</t>
  </si>
  <si>
    <t xml:space="preserve">Treasury Shares Number</t>
  </si>
  <si>
    <t xml:space="preserve">Ordinary Shares Number</t>
  </si>
  <si>
    <t xml:space="preserve">Share Issued</t>
  </si>
  <si>
    <t xml:space="preserve">Net Debt</t>
  </si>
  <si>
    <t xml:space="preserve">Total Debt</t>
  </si>
  <si>
    <t xml:space="preserve">Tangible Book Value</t>
  </si>
  <si>
    <t xml:space="preserve">Invested Capital</t>
  </si>
  <si>
    <t xml:space="preserve">Working Capital</t>
  </si>
  <si>
    <t xml:space="preserve">Net Tangible Assets</t>
  </si>
  <si>
    <t xml:space="preserve">Common Stock Equity</t>
  </si>
  <si>
    <t xml:space="preserve">Total Capitalization</t>
  </si>
  <si>
    <t xml:space="preserve">Total Equity Gross Minority Interest</t>
  </si>
  <si>
    <t xml:space="preserve">Minority Interest</t>
  </si>
  <si>
    <t xml:space="preserve">Stockholders Equity</t>
  </si>
  <si>
    <t xml:space="preserve">Gains Losses Not Affecting Retained Earnings</t>
  </si>
  <si>
    <t xml:space="preserve">Other Equity Adjustments</t>
  </si>
  <si>
    <t xml:space="preserve">Foreign Currency Translation Adjustments</t>
  </si>
  <si>
    <t xml:space="preserve">Minimum Pension Liabilities</t>
  </si>
  <si>
    <t xml:space="preserve">Unrealized Gain Loss</t>
  </si>
  <si>
    <t xml:space="preserve">Treasury Stock</t>
  </si>
  <si>
    <t xml:space="preserve">Retained Earnings</t>
  </si>
  <si>
    <t xml:space="preserve">Additional Paid In Capital</t>
  </si>
  <si>
    <t xml:space="preserve">Capital Stock</t>
  </si>
  <si>
    <t xml:space="preserve">Common Stock</t>
  </si>
  <si>
    <t xml:space="preserve">Total Liabilities Net Minority Interest</t>
  </si>
  <si>
    <t xml:space="preserve">Total Non Current Liabilities Net Minority Interest</t>
  </si>
  <si>
    <t xml:space="preserve">Other Non Current Liabilities</t>
  </si>
  <si>
    <t xml:space="preserve">Non Current Deferred Liabilities</t>
  </si>
  <si>
    <t xml:space="preserve">Non Current Deferred Taxes Liabilities</t>
  </si>
  <si>
    <t xml:space="preserve">Long Term Debt And Capital Lease Obligation</t>
  </si>
  <si>
    <t xml:space="preserve">Long Term Debt</t>
  </si>
  <si>
    <t xml:space="preserve">Current Liabilities</t>
  </si>
  <si>
    <t xml:space="preserve">Other Current Liabilities</t>
  </si>
  <si>
    <t xml:space="preserve">Current Debt And Capital Lease Obligation</t>
  </si>
  <si>
    <t xml:space="preserve">Current Debt</t>
  </si>
  <si>
    <t xml:space="preserve">Other Current Borrowings</t>
  </si>
  <si>
    <t xml:space="preserve">Line Of Credit</t>
  </si>
  <si>
    <t xml:space="preserve">Commercial Paper</t>
  </si>
  <si>
    <t xml:space="preserve">Pensionand Other Post Retirement Benefit Plans Current</t>
  </si>
  <si>
    <t xml:space="preserve">Payables And Accrued Expenses</t>
  </si>
  <si>
    <t xml:space="preserve">Current Accrued Expenses</t>
  </si>
  <si>
    <t xml:space="preserve">Payables</t>
  </si>
  <si>
    <t xml:space="preserve">Other Payable</t>
  </si>
  <si>
    <t xml:space="preserve">Total Tax Payable</t>
  </si>
  <si>
    <t xml:space="preserve">Income Tax Payable</t>
  </si>
  <si>
    <t xml:space="preserve">Accounts Payable</t>
  </si>
  <si>
    <t xml:space="preserve">Total Assets</t>
  </si>
  <si>
    <t xml:space="preserve">Total Non Current Assets</t>
  </si>
  <si>
    <t xml:space="preserve">Other Non Current Assets</t>
  </si>
  <si>
    <t xml:space="preserve">Non Current Deferred Assets</t>
  </si>
  <si>
    <t xml:space="preserve">Non Current Deferred Taxes Assets</t>
  </si>
  <si>
    <t xml:space="preserve">Investments And Advances</t>
  </si>
  <si>
    <t xml:space="preserve">Other Investments</t>
  </si>
  <si>
    <t xml:space="preserve">Long Term Equity Investment</t>
  </si>
  <si>
    <t xml:space="preserve">Goodwill And Other Intangible Assets</t>
  </si>
  <si>
    <t xml:space="preserve">Other Intangible Assets</t>
  </si>
  <si>
    <t xml:space="preserve">Goodwill</t>
  </si>
  <si>
    <t xml:space="preserve">Net PPE</t>
  </si>
  <si>
    <t xml:space="preserve">Accumulated Depreciation</t>
  </si>
  <si>
    <t xml:space="preserve">Gross PPE</t>
  </si>
  <si>
    <t xml:space="preserve">Machinery Furniture Equipment</t>
  </si>
  <si>
    <t xml:space="preserve">Buildings And Improvements</t>
  </si>
  <si>
    <t xml:space="preserve">Land And Improvements</t>
  </si>
  <si>
    <t xml:space="preserve">Properties</t>
  </si>
  <si>
    <t xml:space="preserve">Current Assets</t>
  </si>
  <si>
    <t xml:space="preserve">Other Current Assets</t>
  </si>
  <si>
    <t xml:space="preserve">Assets Held For Sale Current</t>
  </si>
  <si>
    <t xml:space="preserve">Prepaid Assets</t>
  </si>
  <si>
    <t xml:space="preserve">Inventory</t>
  </si>
  <si>
    <t xml:space="preserve">Other Inventories</t>
  </si>
  <si>
    <t xml:space="preserve">Finished Goods</t>
  </si>
  <si>
    <t xml:space="preserve">Raw Materials</t>
  </si>
  <si>
    <t xml:space="preserve">Receivables</t>
  </si>
  <si>
    <t xml:space="preserve">Accounts Receivable</t>
  </si>
  <si>
    <t xml:space="preserve">Allowance For Doubtful Accounts Receivable</t>
  </si>
  <si>
    <t xml:space="preserve">Gross Accounts Receivable</t>
  </si>
  <si>
    <t xml:space="preserve">Cash Cash Equivalents And Short Term Investments</t>
  </si>
  <si>
    <t xml:space="preserve">Other Short Term Investments</t>
  </si>
  <si>
    <t xml:space="preserve">Cash And Cash Equivalents</t>
  </si>
  <si>
    <t xml:space="preserve">Cash-flow — en millions USD</t>
  </si>
  <si>
    <t xml:space="preserve">Free Cash Flow</t>
  </si>
  <si>
    <t xml:space="preserve">Repurchase Of Capital Stock</t>
  </si>
  <si>
    <t xml:space="preserve">Repayment Of Debt</t>
  </si>
  <si>
    <t xml:space="preserve">Issuance Of Debt</t>
  </si>
  <si>
    <t xml:space="preserve">Issuance Of Capital Stock</t>
  </si>
  <si>
    <t xml:space="preserve">Capital Expenditure</t>
  </si>
  <si>
    <t xml:space="preserve">End Cash Position</t>
  </si>
  <si>
    <t xml:space="preserve">Beginning Cash Position</t>
  </si>
  <si>
    <t xml:space="preserve">Effect Of Exchange Rate Changes</t>
  </si>
  <si>
    <t xml:space="preserve">Changes In Cash</t>
  </si>
  <si>
    <t xml:space="preserve">Financing Cash Flow</t>
  </si>
  <si>
    <t xml:space="preserve">Cash Flow From Continuing Financing Activities</t>
  </si>
  <si>
    <t xml:space="preserve">Net Other Financing Charges</t>
  </si>
  <si>
    <t xml:space="preserve">Cash Dividends Paid</t>
  </si>
  <si>
    <t xml:space="preserve">Common Stock Dividend Paid</t>
  </si>
  <si>
    <t xml:space="preserve">Net Common Stock Issuance</t>
  </si>
  <si>
    <t xml:space="preserve">Common Stock Payments</t>
  </si>
  <si>
    <t xml:space="preserve">Common Stock Issuance</t>
  </si>
  <si>
    <t xml:space="preserve">Net Issuance Payments Of Debt</t>
  </si>
  <si>
    <t xml:space="preserve">Net Long Term Debt Issuance</t>
  </si>
  <si>
    <t xml:space="preserve">Long Term Debt Payments</t>
  </si>
  <si>
    <t xml:space="preserve">Long Term Debt Issuance</t>
  </si>
  <si>
    <t xml:space="preserve">Investing Cash Flow</t>
  </si>
  <si>
    <t xml:space="preserve">Cash Flow From Continuing Investing Activities</t>
  </si>
  <si>
    <t xml:space="preserve">Net Other Investing Changes</t>
  </si>
  <si>
    <t xml:space="preserve">Net Investment Purchase And Sale</t>
  </si>
  <si>
    <t xml:space="preserve">Sale Of Investment</t>
  </si>
  <si>
    <t xml:space="preserve">Purchase Of Investment</t>
  </si>
  <si>
    <t xml:space="preserve">Net Business Purchase And Sale</t>
  </si>
  <si>
    <t xml:space="preserve">Sale Of Business</t>
  </si>
  <si>
    <t xml:space="preserve">Purchase Of Business</t>
  </si>
  <si>
    <t xml:space="preserve">Net PPE Purchase And Sale</t>
  </si>
  <si>
    <t xml:space="preserve">Sale Of PPE</t>
  </si>
  <si>
    <t xml:space="preserve">Purchase Of PPE</t>
  </si>
  <si>
    <t xml:space="preserve">Operating Cash Flow</t>
  </si>
  <si>
    <t xml:space="preserve">Cash Flow From Continuing Operating Activities</t>
  </si>
  <si>
    <t xml:space="preserve">Change In Working Capital</t>
  </si>
  <si>
    <t xml:space="preserve">Change In Other Current Liabilities</t>
  </si>
  <si>
    <t xml:space="preserve">Change In Payables And Accrued Expense</t>
  </si>
  <si>
    <t xml:space="preserve">Change In Payable</t>
  </si>
  <si>
    <t xml:space="preserve">Change In Account Payable</t>
  </si>
  <si>
    <t xml:space="preserve">Change In Tax Payable</t>
  </si>
  <si>
    <t xml:space="preserve">Change In Income Tax Payable</t>
  </si>
  <si>
    <t xml:space="preserve">Change In Prepaid Assets</t>
  </si>
  <si>
    <t xml:space="preserve">Change In Inventory</t>
  </si>
  <si>
    <t xml:space="preserve">Change In Receivables</t>
  </si>
  <si>
    <t xml:space="preserve">Changes In Account Receivables</t>
  </si>
  <si>
    <t xml:space="preserve">Other Non Cash Items</t>
  </si>
  <si>
    <t xml:space="preserve">Stock Based Compensation</t>
  </si>
  <si>
    <t xml:space="preserve">Deferred Tax</t>
  </si>
  <si>
    <t xml:space="preserve">Deferred Income Tax</t>
  </si>
  <si>
    <t xml:space="preserve">Depreciation Amortization Depletion</t>
  </si>
  <si>
    <t xml:space="preserve">Depreciation And Amortization</t>
  </si>
  <si>
    <t xml:space="preserve">Operating Gains Losses</t>
  </si>
  <si>
    <t xml:space="preserve">Earnings Losses From Equity Investments</t>
  </si>
  <si>
    <t xml:space="preserve">Net Foreign Currency Exchange Gain Loss</t>
  </si>
  <si>
    <t xml:space="preserve">Net Income From Continuing Operations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</si>
</sst>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\x"/>
    <numFmt numFmtId="167" formatCode="0.0%"/>
    <numFmt numFmtId="168" formatCode="0"/>
    <numFmt numFmtId="169" formatCode="0.00"/>
    <numFmt numFmtId="170" formatCode="\$#,##0;&quot;($&quot;#,##0\);\-"/>
    <numFmt numFmtId="171" formatCode="#,##0.0"/>
    <numFmt numFmtId="172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/>
      <right style="thin">
        <color rgb="FFBFBFBF"/>
      </right>
      <top/>
      <bottom/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/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FFC000"/>
      </left>
      <right/>
      <top style="thin">
        <color rgb="FFFFC000"/>
      </top>
      <bottom/>
      <diagonal/>
    </border>
    <border diagonalUp="false" diagonalDown="false">
      <left style="thin">
        <color rgb="FFFFC000"/>
      </left>
      <right/>
      <top/>
      <bottom style="thin">
        <color rgb="FFFFC000"/>
      </bottom>
      <diagonal/>
    </border>
    <border diagonalUp="false" diagonalDown="false">
      <left/>
      <right/>
      <top/>
      <bottom style="thin">
        <color rgb="FFFFC000"/>
      </bottom>
      <diagonal/>
    </border>
    <border diagonalUp="false" diagonalDown="false">
      <left/>
      <right style="thin">
        <color rgb="FFFFC000"/>
      </right>
      <top/>
      <bottom style="thin">
        <color rgb="FFFFC000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'Football Field'!B4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Field'!$A$5:$A$8</c:f>
              <c:strCache>
                <c:ptCount val="4"/>
                <c:pt idx="0">
                  <c:v>DCF (Bear-Bull)</c:v>
                </c:pt>
                <c:pt idx="1">
                  <c:v>Comparables (min-max)</c:v>
                </c:pt>
                <c:pt idx="2">
                  <c:v>52 semaines (marché)</c:v>
                </c:pt>
                <c:pt idx="3">
                  <c:v>Prix de marché actuel</c:v>
                </c:pt>
              </c:strCache>
            </c:strRef>
          </c:cat>
          <c:val>
            <c:numRef>
              <c:f>'Football Field'!$B$5:$B$8</c:f>
              <c:numCache>
                <c:formatCode>\$#,##0.00</c:formatCode>
                <c:ptCount val="4"/>
                <c:pt idx="0">
                  <c:v>34.0204935158685</c:v>
                </c:pt>
                <c:pt idx="1">
                  <c:v>27.1743011272674</c:v>
                </c:pt>
                <c:pt idx="2">
                  <c:v>65.35</c:v>
                </c:pt>
                <c:pt idx="3">
                  <c:v>87.75</c:v>
                </c:pt>
              </c:numCache>
            </c:numRef>
          </c:val>
        </c:ser>
        <c:ser>
          <c:idx val="1"/>
          <c:order val="1"/>
          <c:tx>
            <c:strRef>
              <c:f>'Football Field'!C4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'Football Field'!$A$5:$A$8</c:f>
              <c:strCache>
                <c:ptCount val="4"/>
                <c:pt idx="0">
                  <c:v>DCF (Bear-Bull)</c:v>
                </c:pt>
                <c:pt idx="1">
                  <c:v>Comparables (min-max)</c:v>
                </c:pt>
                <c:pt idx="2">
                  <c:v>52 semaines (marché)</c:v>
                </c:pt>
                <c:pt idx="3">
                  <c:v>Prix de marché actuel</c:v>
                </c:pt>
              </c:strCache>
            </c:strRef>
          </c:cat>
          <c:val>
            <c:numRef>
              <c:f>'Football Field'!$C$5:$C$8</c:f>
              <c:numCache>
                <c:formatCode>\$#,##0.00</c:formatCode>
                <c:ptCount val="4"/>
                <c:pt idx="0">
                  <c:v>53.8014181629842</c:v>
                </c:pt>
                <c:pt idx="1">
                  <c:v>46.3610968557609</c:v>
                </c:pt>
                <c:pt idx="2">
                  <c:v>27.14</c:v>
                </c:pt>
                <c:pt idx="3">
                  <c:v>1</c:v>
                </c:pt>
              </c:numCache>
            </c:numRef>
          </c:val>
        </c:ser>
        <c:gapWidth val="150"/>
        <c:overlap val="100"/>
        <c:axId val="14284644"/>
        <c:axId val="52325641"/>
      </c:barChart>
      <c:catAx>
        <c:axId val="1428464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Valeur par 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25641"/>
        <c:crosses val="autoZero"/>
        <c:auto val="1"/>
        <c:lblAlgn val="ctr"/>
        <c:lblOffset val="100"/>
        <c:noMultiLvlLbl val="0"/>
      </c:catAx>
      <c:valAx>
        <c:axId val="52325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84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473040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695520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f aca="false">'DCF - Modèle'!B62</f>
        <v>88.25</v>
      </c>
    </row>
    <row r="6" customFormat="false" ht="15" hidden="false" customHeight="false" outlineLevel="0" collapsed="false">
      <c r="A6" s="6" t="s">
        <v>4</v>
      </c>
      <c r="B6" s="7" t="n">
        <f aca="false">'DCF - Modèle'!B61</f>
        <v>54.2034838612625</v>
      </c>
    </row>
    <row r="7" customFormat="false" ht="15" hidden="false" customHeight="false" outlineLevel="0" collapsed="false">
      <c r="A7" s="4" t="s">
        <v>5</v>
      </c>
      <c r="B7" s="8" t="str">
        <f aca="false">'DCF - Modèle'!C24</f>
        <v>Base</v>
      </c>
    </row>
    <row r="8" customFormat="false" ht="15" hidden="false" customHeight="false" outlineLevel="0" collapsed="false">
      <c r="A8" s="6" t="s">
        <v>6</v>
      </c>
      <c r="B8" s="7" t="n">
        <f aca="false">'Comps - Résultat'!D16</f>
        <v>49.1509867646168</v>
      </c>
    </row>
    <row r="9" customFormat="false" ht="15" hidden="false" customHeight="false" outlineLevel="0" collapsed="false">
      <c r="A9" s="4" t="s">
        <v>7</v>
      </c>
      <c r="B9" s="9" t="n">
        <f aca="false">'DCF - Modèle'!B63</f>
        <v>0.614203783130453</v>
      </c>
    </row>
    <row r="10" customFormat="false" ht="15" hidden="false" customHeight="false" outlineLevel="0" collapsed="false">
      <c r="A10" s="4" t="s">
        <v>8</v>
      </c>
      <c r="B10" s="10" t="n">
        <f aca="false">'DCF - Modèle'!B21</f>
        <v>0.0555853234236391</v>
      </c>
    </row>
    <row r="11" customFormat="false" ht="15" hidden="false" customHeight="false" outlineLevel="0" collapsed="false">
      <c r="A11" s="4" t="s">
        <v>9</v>
      </c>
      <c r="B11" s="10" t="n">
        <f aca="false">'DCF - Modèle'!E27</f>
        <v>0.02</v>
      </c>
    </row>
    <row r="12" customFormat="false" ht="15" hidden="false" customHeight="false" outlineLevel="0" collapsed="false">
      <c r="A12" s="11" t="s">
        <v>10</v>
      </c>
      <c r="B12" s="12" t="n">
        <f aca="false">'DCF - Modèle'!E26</f>
        <v>0.298417303761967</v>
      </c>
    </row>
    <row r="14" customFormat="false" ht="19.5" hidden="false" customHeight="true" outlineLevel="0" collapsed="false">
      <c r="A14" s="3" t="s">
        <v>11</v>
      </c>
      <c r="B14" s="3"/>
    </row>
    <row r="15" customFormat="false" ht="15" hidden="false" customHeight="false" outlineLevel="0" collapsed="false">
      <c r="A15" s="4" t="s">
        <v>12</v>
      </c>
      <c r="B15" s="13" t="n">
        <v>34.0204935158685</v>
      </c>
    </row>
    <row r="16" customFormat="false" ht="15" hidden="false" customHeight="false" outlineLevel="0" collapsed="false">
      <c r="A16" s="4" t="s">
        <v>13</v>
      </c>
      <c r="B16" s="13" t="n">
        <v>54.2034838612625</v>
      </c>
    </row>
    <row r="17" customFormat="false" ht="15" hidden="false" customHeight="false" outlineLevel="0" collapsed="false">
      <c r="A17" s="11" t="s">
        <v>14</v>
      </c>
      <c r="B17" s="14" t="n">
        <v>87.8219116788527</v>
      </c>
    </row>
    <row r="19" customFormat="false" ht="19.5" hidden="false" customHeight="true" outlineLevel="0" collapsed="false">
      <c r="A19" s="15" t="s">
        <v>15</v>
      </c>
      <c r="B19" s="15"/>
    </row>
    <row r="20" customFormat="false" ht="15" hidden="false" customHeight="false" outlineLevel="0" collapsed="false">
      <c r="A20" s="16" t="s">
        <v>16</v>
      </c>
      <c r="B20" s="17" t="n">
        <v>94.69565</v>
      </c>
    </row>
    <row r="21" customFormat="false" ht="15" hidden="false" customHeight="false" outlineLevel="0" collapsed="false">
      <c r="A21" s="4" t="s">
        <v>17</v>
      </c>
      <c r="B21" s="18" t="s">
        <v>18</v>
      </c>
    </row>
    <row r="22" customFormat="false" ht="15" hidden="false" customHeight="false" outlineLevel="0" collapsed="false">
      <c r="A22" s="4" t="s">
        <v>19</v>
      </c>
      <c r="B22" s="19" t="n">
        <v>23</v>
      </c>
    </row>
    <row r="23" customFormat="false" ht="15" hidden="false" customHeight="false" outlineLevel="0" collapsed="false">
      <c r="A23" s="11" t="s">
        <v>20</v>
      </c>
      <c r="B23" s="20" t="s">
        <v>21</v>
      </c>
    </row>
    <row r="25" customFormat="false" ht="19.5" hidden="false" customHeight="true" outlineLevel="0" collapsed="false">
      <c r="A25" s="3" t="s">
        <v>22</v>
      </c>
      <c r="B25" s="3"/>
    </row>
    <row r="26" customFormat="false" ht="15" hidden="false" customHeight="false" outlineLevel="0" collapsed="false">
      <c r="A26" s="11" t="s">
        <v>23</v>
      </c>
      <c r="B26" s="21"/>
    </row>
    <row r="28" customFormat="false" ht="19.5" hidden="false" customHeight="true" outlineLevel="0" collapsed="false">
      <c r="A28" s="15" t="s">
        <v>24</v>
      </c>
      <c r="B28" s="15"/>
    </row>
    <row r="29" customFormat="false" ht="15" hidden="false" customHeight="false" outlineLevel="0" collapsed="false">
      <c r="A29" s="22" t="s">
        <v>25</v>
      </c>
      <c r="B29" s="23" t="s">
        <v>26</v>
      </c>
    </row>
    <row r="30" customFormat="false" ht="15" hidden="false" customHeight="false" outlineLevel="0" collapsed="false">
      <c r="A30" s="24" t="s">
        <v>27</v>
      </c>
      <c r="B30" s="25" t="s">
        <v>28</v>
      </c>
    </row>
    <row r="31" customFormat="false" ht="15" hidden="false" customHeight="false" outlineLevel="0" collapsed="false">
      <c r="A31" s="26" t="s">
        <v>29</v>
      </c>
      <c r="B31" s="25" t="s">
        <v>30</v>
      </c>
    </row>
    <row r="32" customFormat="false" ht="15" hidden="false" customHeight="false" outlineLevel="0" collapsed="false">
      <c r="A32" s="11" t="s">
        <v>31</v>
      </c>
      <c r="B32" s="27" t="s">
        <v>32</v>
      </c>
    </row>
  </sheetData>
  <mergeCells count="5">
    <mergeCell ref="A4:B4"/>
    <mergeCell ref="A14:B14"/>
    <mergeCell ref="A19:B19"/>
    <mergeCell ref="A25:B25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9.5" hidden="false" customHeight="true" outlineLevel="0" collapsed="false">
      <c r="A3" s="28" t="s">
        <v>35</v>
      </c>
      <c r="B3" s="28"/>
      <c r="C3" s="28"/>
      <c r="D3" s="28"/>
      <c r="E3" s="28"/>
    </row>
    <row r="4" customFormat="false" ht="15" hidden="false" customHeight="false" outlineLevel="0" collapsed="false">
      <c r="A4" s="4" t="s">
        <v>36</v>
      </c>
      <c r="B4" s="29" t="n">
        <v>0.042</v>
      </c>
      <c r="C4" s="2" t="s">
        <v>37</v>
      </c>
    </row>
    <row r="5" customFormat="false" ht="15" hidden="false" customHeight="false" outlineLevel="0" collapsed="false">
      <c r="A5" s="4" t="s">
        <v>38</v>
      </c>
      <c r="B5" s="29" t="n">
        <v>0.05</v>
      </c>
      <c r="C5" s="2" t="s">
        <v>39</v>
      </c>
    </row>
    <row r="6" customFormat="false" ht="15" hidden="false" customHeight="false" outlineLevel="0" collapsed="false">
      <c r="A6" s="4" t="s">
        <v>40</v>
      </c>
      <c r="B6" s="30" t="n">
        <v>0.342</v>
      </c>
      <c r="C6" s="2" t="s">
        <v>41</v>
      </c>
    </row>
    <row r="7" customFormat="false" ht="15" hidden="false" customHeight="false" outlineLevel="0" collapsed="false">
      <c r="A7" s="4" t="s">
        <v>42</v>
      </c>
      <c r="B7" s="29" t="n">
        <v>0.035</v>
      </c>
      <c r="C7" s="2" t="s">
        <v>43</v>
      </c>
    </row>
    <row r="8" customFormat="false" ht="15" hidden="false" customHeight="false" outlineLevel="0" collapsed="false">
      <c r="A8" s="4" t="s">
        <v>44</v>
      </c>
      <c r="B8" s="29" t="n">
        <v>0.25</v>
      </c>
      <c r="C8" s="2" t="s">
        <v>45</v>
      </c>
    </row>
    <row r="9" customFormat="false" ht="15" hidden="false" customHeight="false" outlineLevel="0" collapsed="false">
      <c r="A9" s="4" t="s">
        <v>46</v>
      </c>
      <c r="B9" s="31" t="n">
        <v>379699.953664</v>
      </c>
    </row>
    <row r="10" customFormat="false" ht="15" hidden="false" customHeight="false" outlineLevel="0" collapsed="false">
      <c r="A10" s="4" t="s">
        <v>47</v>
      </c>
      <c r="B10" s="31" t="n">
        <v>45492</v>
      </c>
    </row>
    <row r="11" customFormat="false" ht="15" hidden="false" customHeight="false" outlineLevel="0" collapsed="false">
      <c r="A11" s="4" t="s">
        <v>48</v>
      </c>
      <c r="B11" s="31" t="n">
        <v>35222</v>
      </c>
    </row>
    <row r="12" customFormat="false" ht="15" hidden="false" customHeight="false" outlineLevel="0" collapsed="false">
      <c r="A12" s="4" t="s">
        <v>49</v>
      </c>
      <c r="B12" s="32" t="n">
        <v>4302.549050017</v>
      </c>
    </row>
    <row r="13" customFormat="false" ht="15" hidden="false" customHeight="false" outlineLevel="0" collapsed="false">
      <c r="A13" s="4" t="s">
        <v>50</v>
      </c>
      <c r="B13" s="29" t="n">
        <v>0.08</v>
      </c>
    </row>
    <row r="14" customFormat="false" ht="15" hidden="false" customHeight="false" outlineLevel="0" collapsed="false">
      <c r="A14" s="4" t="s">
        <v>51</v>
      </c>
      <c r="B14" s="29" t="n">
        <v>0.06</v>
      </c>
    </row>
    <row r="15" customFormat="false" ht="15" hidden="false" customHeight="false" outlineLevel="0" collapsed="false">
      <c r="A15" s="11" t="s">
        <v>52</v>
      </c>
      <c r="B15" s="33" t="n">
        <v>0.005</v>
      </c>
    </row>
    <row r="17" customFormat="false" ht="19.5" hidden="false" customHeight="true" outlineLevel="0" collapsed="false">
      <c r="A17" s="3" t="s">
        <v>53</v>
      </c>
      <c r="B17" s="3"/>
    </row>
    <row r="18" customFormat="false" ht="15" hidden="false" customHeight="false" outlineLevel="0" collapsed="false">
      <c r="A18" s="4" t="s">
        <v>54</v>
      </c>
      <c r="B18" s="34" t="n">
        <f aca="false">B4+B6*B5</f>
        <v>0.0591</v>
      </c>
    </row>
    <row r="19" customFormat="false" ht="15" hidden="false" customHeight="false" outlineLevel="0" collapsed="false">
      <c r="A19" s="4" t="s">
        <v>55</v>
      </c>
      <c r="B19" s="34" t="n">
        <f aca="false">B9/(B9+B10)</f>
        <v>0.89300832339845</v>
      </c>
    </row>
    <row r="20" customFormat="false" ht="15" hidden="false" customHeight="false" outlineLevel="0" collapsed="false">
      <c r="A20" s="4" t="s">
        <v>56</v>
      </c>
      <c r="B20" s="34" t="n">
        <f aca="false">1-B19</f>
        <v>0.10699167660155</v>
      </c>
    </row>
    <row r="21" customFormat="false" ht="15" hidden="false" customHeight="false" outlineLevel="0" collapsed="false">
      <c r="A21" s="35" t="s">
        <v>8</v>
      </c>
      <c r="B21" s="36" t="n">
        <f aca="false">B19*B18+B20*B7*(1-B8)</f>
        <v>0.0555853234236391</v>
      </c>
    </row>
    <row r="23" customFormat="false" ht="19.5" hidden="false" customHeight="true" outlineLevel="0" collapsed="false">
      <c r="A23" s="37" t="s">
        <v>57</v>
      </c>
      <c r="B23" s="37"/>
      <c r="C23" s="37"/>
      <c r="D23" s="37"/>
      <c r="E23" s="37"/>
    </row>
    <row r="24" customFormat="false" ht="15" hidden="false" customHeight="false" outlineLevel="0" collapsed="false">
      <c r="A24" s="38" t="s">
        <v>58</v>
      </c>
      <c r="B24" s="39" t="n">
        <v>2</v>
      </c>
      <c r="C24" s="40" t="str">
        <f aca="false">CHOOSE(B24,"Bear","Base","Bull")</f>
        <v>Base</v>
      </c>
    </row>
    <row r="25" customFormat="false" ht="15" hidden="false" customHeight="false" outlineLevel="0" collapsed="false">
      <c r="A25" s="41"/>
      <c r="B25" s="42" t="s">
        <v>12</v>
      </c>
      <c r="C25" s="42" t="s">
        <v>13</v>
      </c>
      <c r="D25" s="42" t="s">
        <v>14</v>
      </c>
      <c r="E25" s="43" t="s">
        <v>59</v>
      </c>
    </row>
    <row r="26" customFormat="false" ht="15" hidden="false" customHeight="false" outlineLevel="0" collapsed="false">
      <c r="A26" s="4" t="s">
        <v>60</v>
      </c>
      <c r="B26" s="44" t="n">
        <v>0.278417303761967</v>
      </c>
      <c r="C26" s="44" t="n">
        <v>0.298417303761967</v>
      </c>
      <c r="D26" s="44" t="n">
        <v>0.318417303761967</v>
      </c>
      <c r="E26" s="45" t="n">
        <f aca="false">CHOOSE($B$24,B26,C26,D26)</f>
        <v>0.298417303761967</v>
      </c>
      <c r="F26" s="2" t="s">
        <v>61</v>
      </c>
    </row>
    <row r="27" customFormat="false" ht="15" hidden="false" customHeight="false" outlineLevel="0" collapsed="false">
      <c r="A27" s="11" t="s">
        <v>62</v>
      </c>
      <c r="B27" s="46" t="n">
        <v>0.01</v>
      </c>
      <c r="C27" s="46" t="n">
        <v>0.02</v>
      </c>
      <c r="D27" s="46" t="n">
        <v>0.03</v>
      </c>
      <c r="E27" s="47" t="n">
        <f aca="false">CHOOSE($B$24,B27,C27,D27)</f>
        <v>0.02</v>
      </c>
    </row>
    <row r="29" customFormat="false" ht="19.5" hidden="false" customHeight="true" outlineLevel="0" collapsed="false">
      <c r="A29" s="3" t="s">
        <v>63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48" t="s">
        <v>64</v>
      </c>
      <c r="B30" s="49" t="s">
        <v>65</v>
      </c>
      <c r="C30" s="49" t="s">
        <v>66</v>
      </c>
      <c r="D30" s="49" t="s">
        <v>67</v>
      </c>
      <c r="E30" s="49" t="s">
        <v>68</v>
      </c>
      <c r="F30" s="50" t="s">
        <v>69</v>
      </c>
    </row>
    <row r="31" customFormat="false" ht="15" hidden="false" customHeight="false" outlineLevel="0" collapsed="false">
      <c r="A31" s="4" t="s">
        <v>12</v>
      </c>
      <c r="B31" s="44" t="n">
        <v>0</v>
      </c>
      <c r="C31" s="44" t="n">
        <v>-0.005</v>
      </c>
      <c r="D31" s="44" t="n">
        <v>-0.01</v>
      </c>
      <c r="E31" s="44" t="n">
        <v>-0.01</v>
      </c>
      <c r="F31" s="29" t="n">
        <v>-0.005</v>
      </c>
    </row>
    <row r="32" customFormat="false" ht="15" hidden="false" customHeight="false" outlineLevel="0" collapsed="false">
      <c r="A32" s="4" t="s">
        <v>13</v>
      </c>
      <c r="B32" s="44" t="n">
        <v>0.02</v>
      </c>
      <c r="C32" s="44" t="n">
        <v>0.02</v>
      </c>
      <c r="D32" s="44" t="n">
        <v>0.015</v>
      </c>
      <c r="E32" s="44" t="n">
        <v>0.015</v>
      </c>
      <c r="F32" s="29" t="n">
        <v>0.01</v>
      </c>
    </row>
    <row r="33" customFormat="false" ht="15" hidden="false" customHeight="false" outlineLevel="0" collapsed="false">
      <c r="A33" s="4" t="s">
        <v>14</v>
      </c>
      <c r="B33" s="44" t="n">
        <v>0.04</v>
      </c>
      <c r="C33" s="44" t="n">
        <v>0.035</v>
      </c>
      <c r="D33" s="44" t="n">
        <v>0.03</v>
      </c>
      <c r="E33" s="44" t="n">
        <v>0.025</v>
      </c>
      <c r="F33" s="29" t="n">
        <v>0.02</v>
      </c>
    </row>
    <row r="34" customFormat="false" ht="15" hidden="false" customHeight="false" outlineLevel="0" collapsed="false">
      <c r="A34" s="35" t="s">
        <v>70</v>
      </c>
      <c r="B34" s="51" t="n">
        <f aca="false">CHOOSE($B$24,B31,B32,B33)</f>
        <v>0.02</v>
      </c>
      <c r="C34" s="51" t="n">
        <f aca="false">CHOOSE($B$24,C31,C32,C33)</f>
        <v>0.02</v>
      </c>
      <c r="D34" s="51" t="n">
        <f aca="false">CHOOSE($B$24,D31,D32,D33)</f>
        <v>0.015</v>
      </c>
      <c r="E34" s="51" t="n">
        <f aca="false">CHOOSE($B$24,E31,E32,E33)</f>
        <v>0.015</v>
      </c>
      <c r="F34" s="47" t="n">
        <f aca="false">CHOOSE($B$24,F31,F32,F33)</f>
        <v>0.01</v>
      </c>
    </row>
    <row r="36" customFormat="false" ht="19.5" hidden="false" customHeight="true" outlineLevel="0" collapsed="false">
      <c r="A36" s="3" t="s">
        <v>71</v>
      </c>
      <c r="B36" s="3"/>
      <c r="C36" s="3"/>
      <c r="D36" s="3"/>
      <c r="E36" s="3"/>
      <c r="F36" s="3"/>
    </row>
    <row r="37" customFormat="false" ht="15" hidden="false" customHeight="false" outlineLevel="0" collapsed="false">
      <c r="A37" s="4" t="s">
        <v>72</v>
      </c>
      <c r="B37" s="52" t="n">
        <v>47941</v>
      </c>
      <c r="C37" s="53"/>
      <c r="D37" s="53"/>
      <c r="E37" s="53"/>
      <c r="F37" s="54"/>
    </row>
    <row r="38" customFormat="false" ht="15" hidden="false" customHeight="false" outlineLevel="0" collapsed="false">
      <c r="A38" s="48" t="s">
        <v>64</v>
      </c>
      <c r="B38" s="49" t="s">
        <v>65</v>
      </c>
      <c r="C38" s="49" t="s">
        <v>66</v>
      </c>
      <c r="D38" s="49" t="s">
        <v>67</v>
      </c>
      <c r="E38" s="49" t="s">
        <v>68</v>
      </c>
      <c r="F38" s="50" t="s">
        <v>69</v>
      </c>
    </row>
    <row r="39" customFormat="false" ht="15" hidden="false" customHeight="false" outlineLevel="0" collapsed="false">
      <c r="A39" s="4" t="s">
        <v>73</v>
      </c>
      <c r="B39" s="55" t="n">
        <f aca="false">B37*(1+B34)</f>
        <v>48899.82</v>
      </c>
      <c r="C39" s="55" t="n">
        <f aca="false">B39*(1+C34)</f>
        <v>49877.8164</v>
      </c>
      <c r="D39" s="55" t="n">
        <f aca="false">C39*(1+D34)</f>
        <v>50625.983646</v>
      </c>
      <c r="E39" s="55" t="n">
        <f aca="false">D39*(1+E34)</f>
        <v>51385.37340069</v>
      </c>
      <c r="F39" s="56" t="n">
        <f aca="false">E39*(1+F34)</f>
        <v>51899.2271346969</v>
      </c>
    </row>
    <row r="40" customFormat="false" ht="15" hidden="false" customHeight="false" outlineLevel="0" collapsed="false">
      <c r="A40" s="57" t="s">
        <v>74</v>
      </c>
      <c r="B40" s="58" t="n">
        <f aca="false">B39*$E$26</f>
        <v>14592.5524388455</v>
      </c>
      <c r="C40" s="58" t="n">
        <f aca="false">C39*$E$26</f>
        <v>14884.4034876224</v>
      </c>
      <c r="D40" s="58" t="n">
        <f aca="false">D39*$E$26</f>
        <v>15107.6695399368</v>
      </c>
      <c r="E40" s="58" t="n">
        <f aca="false">E39*$E$26</f>
        <v>15334.2845830358</v>
      </c>
      <c r="F40" s="59" t="n">
        <f aca="false">F39*$E$26</f>
        <v>15487.6274288662</v>
      </c>
    </row>
    <row r="41" customFormat="false" ht="15" hidden="false" customHeight="false" outlineLevel="0" collapsed="false">
      <c r="A41" s="4" t="s">
        <v>75</v>
      </c>
      <c r="B41" s="55" t="n">
        <f aca="false">B40*(1-$B$8)</f>
        <v>10944.4143291341</v>
      </c>
      <c r="C41" s="55" t="n">
        <f aca="false">C40*(1-$B$8)</f>
        <v>11163.3026157168</v>
      </c>
      <c r="D41" s="55" t="n">
        <f aca="false">D40*(1-$B$8)</f>
        <v>11330.7521549526</v>
      </c>
      <c r="E41" s="55" t="n">
        <f aca="false">E40*(1-$B$8)</f>
        <v>11500.7134372769</v>
      </c>
      <c r="F41" s="56" t="n">
        <f aca="false">F40*(1-$B$8)</f>
        <v>11615.7205716496</v>
      </c>
    </row>
    <row r="42" customFormat="false" ht="15" hidden="false" customHeight="false" outlineLevel="0" collapsed="false">
      <c r="A42" s="57" t="s">
        <v>76</v>
      </c>
      <c r="B42" s="58" t="n">
        <f aca="false">B39*$B$14</f>
        <v>2933.9892</v>
      </c>
      <c r="C42" s="58" t="n">
        <f aca="false">C39*$B$14</f>
        <v>2992.668984</v>
      </c>
      <c r="D42" s="58" t="n">
        <f aca="false">D39*$B$14</f>
        <v>3037.55901876</v>
      </c>
      <c r="E42" s="58" t="n">
        <f aca="false">E39*$B$14</f>
        <v>3083.1224040414</v>
      </c>
      <c r="F42" s="59" t="n">
        <f aca="false">F39*$B$14</f>
        <v>3113.95362808181</v>
      </c>
    </row>
    <row r="43" customFormat="false" ht="15" hidden="false" customHeight="false" outlineLevel="0" collapsed="false">
      <c r="A43" s="4" t="s">
        <v>77</v>
      </c>
      <c r="B43" s="55" t="n">
        <f aca="false">B39*$B$13</f>
        <v>3911.9856</v>
      </c>
      <c r="C43" s="55" t="n">
        <f aca="false">C39*$B$13</f>
        <v>3990.225312</v>
      </c>
      <c r="D43" s="55" t="n">
        <f aca="false">D39*$B$13</f>
        <v>4050.07869168</v>
      </c>
      <c r="E43" s="55" t="n">
        <f aca="false">E39*$B$13</f>
        <v>4110.8298720552</v>
      </c>
      <c r="F43" s="56" t="n">
        <f aca="false">F39*$B$13</f>
        <v>4151.93817077575</v>
      </c>
    </row>
    <row r="44" customFormat="false" ht="15" hidden="false" customHeight="false" outlineLevel="0" collapsed="false">
      <c r="A44" s="57" t="s">
        <v>78</v>
      </c>
      <c r="B44" s="58" t="n">
        <f aca="false">B39*$B$15</f>
        <v>244.4991</v>
      </c>
      <c r="C44" s="58" t="n">
        <f aca="false">C39*$B$15</f>
        <v>249.389082</v>
      </c>
      <c r="D44" s="58" t="n">
        <f aca="false">D39*$B$15</f>
        <v>253.12991823</v>
      </c>
      <c r="E44" s="58" t="n">
        <f aca="false">E39*$B$15</f>
        <v>256.92686700345</v>
      </c>
      <c r="F44" s="59" t="n">
        <f aca="false">F39*$B$15</f>
        <v>259.496135673485</v>
      </c>
    </row>
    <row r="45" customFormat="false" ht="15" hidden="false" customHeight="false" outlineLevel="0" collapsed="false">
      <c r="A45" s="6" t="s">
        <v>79</v>
      </c>
      <c r="B45" s="60" t="n">
        <f aca="false">B41+B42-B43-B44</f>
        <v>9721.91882913414</v>
      </c>
      <c r="C45" s="60" t="n">
        <f aca="false">C41+C42-C43-C44</f>
        <v>9916.35720571683</v>
      </c>
      <c r="D45" s="60" t="n">
        <f aca="false">D41+D42-D43-D44</f>
        <v>10065.1025638026</v>
      </c>
      <c r="E45" s="60" t="n">
        <f aca="false">E41+E42-E43-E44</f>
        <v>10216.0791022596</v>
      </c>
      <c r="F45" s="61" t="n">
        <f aca="false">F41+F42-F43-F44</f>
        <v>10318.2398932822</v>
      </c>
    </row>
    <row r="46" customFormat="false" ht="15" hidden="false" customHeight="false" outlineLevel="0" collapsed="false">
      <c r="A46" s="57" t="s">
        <v>80</v>
      </c>
      <c r="B46" s="62" t="n">
        <v>1</v>
      </c>
      <c r="C46" s="62" t="n">
        <v>2</v>
      </c>
      <c r="D46" s="62" t="n">
        <v>3</v>
      </c>
      <c r="E46" s="62" t="n">
        <v>4</v>
      </c>
      <c r="F46" s="63" t="n">
        <v>5</v>
      </c>
    </row>
    <row r="47" customFormat="false" ht="15" hidden="false" customHeight="false" outlineLevel="0" collapsed="false">
      <c r="A47" s="4" t="s">
        <v>81</v>
      </c>
      <c r="B47" s="64" t="n">
        <f aca="false">1/(1+$B$21)^B46</f>
        <v>0.947341704938303</v>
      </c>
      <c r="C47" s="64" t="n">
        <f aca="false">1/(1+$B$21)^C46</f>
        <v>0.897456305915411</v>
      </c>
      <c r="D47" s="64" t="n">
        <f aca="false">1/(1+$B$21)^D46</f>
        <v>0.850197786953536</v>
      </c>
      <c r="E47" s="64" t="n">
        <f aca="false">1/(1+$B$21)^E46</f>
        <v>0.805427821027335</v>
      </c>
      <c r="F47" s="65" t="n">
        <f aca="false">1/(1+$B$21)^F46</f>
        <v>0.763015365176778</v>
      </c>
    </row>
    <row r="48" customFormat="false" ht="15" hidden="false" customHeight="false" outlineLevel="0" collapsed="false">
      <c r="A48" s="66" t="s">
        <v>82</v>
      </c>
      <c r="B48" s="67" t="n">
        <f aca="false">B45*B47</f>
        <v>9209.97915886373</v>
      </c>
      <c r="C48" s="67" t="n">
        <f aca="false">C45*C47</f>
        <v>8899.49730598029</v>
      </c>
      <c r="D48" s="67" t="n">
        <f aca="false">D45*D47</f>
        <v>8557.32792520531</v>
      </c>
      <c r="E48" s="67" t="n">
        <f aca="false">E45*E47</f>
        <v>8228.31433077586</v>
      </c>
      <c r="F48" s="68" t="n">
        <f aca="false">F45*F47</f>
        <v>7872.97558015432</v>
      </c>
    </row>
    <row r="50" customFormat="false" ht="19.5" hidden="false" customHeight="true" outlineLevel="0" collapsed="false">
      <c r="A50" s="3" t="s">
        <v>83</v>
      </c>
      <c r="B50" s="3"/>
    </row>
    <row r="51" customFormat="false" ht="15" hidden="false" customHeight="false" outlineLevel="0" collapsed="false">
      <c r="A51" s="4" t="s">
        <v>84</v>
      </c>
      <c r="B51" s="56" t="n">
        <f aca="false">F45*(1+E27)/(B21-E27)</f>
        <v>295756.892971119</v>
      </c>
    </row>
    <row r="52" customFormat="false" ht="15" hidden="false" customHeight="false" outlineLevel="0" collapsed="false">
      <c r="A52" s="11" t="s">
        <v>85</v>
      </c>
      <c r="B52" s="69" t="n">
        <f aca="false">B51*F47</f>
        <v>225667.053693907</v>
      </c>
    </row>
    <row r="54" customFormat="false" ht="19.5" hidden="false" customHeight="true" outlineLevel="0" collapsed="false">
      <c r="A54" s="3" t="s">
        <v>86</v>
      </c>
      <c r="B54" s="3"/>
    </row>
    <row r="55" customFormat="false" ht="15" hidden="false" customHeight="false" outlineLevel="0" collapsed="false">
      <c r="A55" s="4" t="s">
        <v>87</v>
      </c>
      <c r="B55" s="70" t="n">
        <f aca="false">SUM(B48:F48)</f>
        <v>42768.0943009795</v>
      </c>
    </row>
    <row r="56" customFormat="false" ht="15" hidden="false" customHeight="false" outlineLevel="0" collapsed="false">
      <c r="A56" s="4" t="s">
        <v>85</v>
      </c>
      <c r="B56" s="70" t="n">
        <f aca="false">B52</f>
        <v>225667.053693907</v>
      </c>
    </row>
    <row r="57" customFormat="false" ht="15" hidden="false" customHeight="false" outlineLevel="0" collapsed="false">
      <c r="A57" s="6" t="s">
        <v>88</v>
      </c>
      <c r="B57" s="61" t="n">
        <f aca="false">B55+B56</f>
        <v>268435.147994887</v>
      </c>
    </row>
    <row r="58" customFormat="false" ht="15" hidden="false" customHeight="false" outlineLevel="0" collapsed="false">
      <c r="A58" s="4" t="s">
        <v>48</v>
      </c>
      <c r="B58" s="70" t="n">
        <f aca="false">B11</f>
        <v>35222</v>
      </c>
    </row>
    <row r="59" customFormat="false" ht="15" hidden="false" customHeight="false" outlineLevel="0" collapsed="false">
      <c r="A59" s="6" t="s">
        <v>89</v>
      </c>
      <c r="B59" s="61" t="n">
        <f aca="false">B57-B58</f>
        <v>233213.147994887</v>
      </c>
    </row>
    <row r="60" customFormat="false" ht="15" hidden="false" customHeight="false" outlineLevel="0" collapsed="false">
      <c r="A60" s="4" t="s">
        <v>90</v>
      </c>
      <c r="B60" s="71" t="n">
        <f aca="false">B12</f>
        <v>4302.549050017</v>
      </c>
    </row>
    <row r="61" customFormat="false" ht="15" hidden="false" customHeight="false" outlineLevel="0" collapsed="false">
      <c r="A61" s="6" t="s">
        <v>91</v>
      </c>
      <c r="B61" s="72" t="n">
        <f aca="false">B59/B60</f>
        <v>54.2034838612625</v>
      </c>
    </row>
    <row r="62" customFormat="false" ht="15" hidden="false" customHeight="false" outlineLevel="0" collapsed="false">
      <c r="A62" s="4" t="s">
        <v>3</v>
      </c>
      <c r="B62" s="73" t="n">
        <v>88.25</v>
      </c>
    </row>
    <row r="63" customFormat="false" ht="15" hidden="false" customHeight="false" outlineLevel="0" collapsed="false">
      <c r="A63" s="35" t="s">
        <v>7</v>
      </c>
      <c r="B63" s="74" t="n">
        <f aca="false">B61/B62</f>
        <v>0.614203783130453</v>
      </c>
    </row>
  </sheetData>
  <mergeCells count="7">
    <mergeCell ref="A3:E3"/>
    <mergeCell ref="A17:B17"/>
    <mergeCell ref="A23:E23"/>
    <mergeCell ref="A29:F29"/>
    <mergeCell ref="A36:F36"/>
    <mergeCell ref="A50:B50"/>
    <mergeCell ref="A54:B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3" customFormat="false" ht="15" hidden="false" customHeight="false" outlineLevel="0" collapsed="false">
      <c r="A3" s="75" t="s">
        <v>94</v>
      </c>
      <c r="B3" s="76" t="n">
        <v>0.01</v>
      </c>
      <c r="C3" s="76" t="n">
        <v>0.015</v>
      </c>
      <c r="D3" s="76" t="n">
        <v>0.02</v>
      </c>
      <c r="E3" s="76" t="n">
        <v>0.025</v>
      </c>
      <c r="F3" s="76" t="n">
        <v>0.03</v>
      </c>
    </row>
    <row r="4" customFormat="false" ht="15" hidden="false" customHeight="false" outlineLevel="0" collapsed="false">
      <c r="A4" s="77" t="n">
        <v>0.0356</v>
      </c>
      <c r="B4" s="78" t="n">
        <f aca="false">IFERROR((SUMPRODUCT('DCF - Modèle'!$B$45:$F$45,1/(1+$A4)^'DCF - Modèle'!$B$46:$F$46)+('DCF - Modèle'!$F$45*(1+B$3))/($A4-B$3)/(1+$A4)^'DCF - Modèle'!$F$46-'DCF - Modèle'!$B$11)/'DCF - Modèle'!$B$12,"n/a")</f>
        <v>81.7616349028851</v>
      </c>
      <c r="C4" s="78" t="n">
        <f aca="false">IFERROR((SUMPRODUCT('DCF - Modèle'!$B$45:$F$45,1/(1+$A4)^'DCF - Modèle'!$B$46:$F$46)+('DCF - Modèle'!$F$45*(1+C$3))/($A4-C$3)/(1+$A4)^'DCF - Modèle'!$F$46-'DCF - Modèle'!$B$11)/'DCF - Modèle'!$B$12,"n/a")</f>
        <v>101.530167914809</v>
      </c>
      <c r="D4" s="78" t="n">
        <f aca="false">IFERROR((SUMPRODUCT('DCF - Modèle'!$B$45:$F$45,1/(1+$A4)^'DCF - Modèle'!$B$46:$F$46)+('DCF - Modèle'!$F$45*(1+D$3))/($A4-D$3)/(1+$A4)^'DCF - Modèle'!$F$46-'DCF - Modèle'!$B$11)/'DCF - Modèle'!$B$12,"n/a")</f>
        <v>133.970837472839</v>
      </c>
      <c r="E4" s="78" t="n">
        <f aca="false">IFERROR((SUMPRODUCT('DCF - Modèle'!$B$45:$F$45,1/(1+$A4)^'DCF - Modèle'!$B$46:$F$46)+('DCF - Modèle'!$F$45*(1+E$3))/($A4-E$3)/(1+$A4)^'DCF - Modèle'!$F$46-'DCF - Modèle'!$B$11)/'DCF - Modèle'!$B$12,"n/a")</f>
        <v>197.015912274292</v>
      </c>
      <c r="F4" s="78" t="n">
        <f aca="false">IFERROR((SUMPRODUCT('DCF - Modèle'!$B$45:$F$45,1/(1+$A4)^'DCF - Modèle'!$B$46:$F$46)+('DCF - Modèle'!$F$45*(1+F$3))/($A4-F$3)/(1+$A4)^'DCF - Modèle'!$F$46-'DCF - Modèle'!$B$11)/'DCF - Modèle'!$B$12,"n/a")</f>
        <v>372.641477792626</v>
      </c>
    </row>
    <row r="5" customFormat="false" ht="15" hidden="false" customHeight="false" outlineLevel="0" collapsed="false">
      <c r="A5" s="77" t="n">
        <v>0.0456</v>
      </c>
      <c r="B5" s="78" t="n">
        <f aca="false">IFERROR((SUMPRODUCT('DCF - Modèle'!$B$45:$F$45,1/(1+$A5)^'DCF - Modèle'!$B$46:$F$46)+('DCF - Modèle'!$F$45*(1+B$3))/($A5-B$3)/(1+$A5)^'DCF - Modèle'!$F$46-'DCF - Modèle'!$B$11)/'DCF - Modèle'!$B$12,"n/a")</f>
        <v>56.4753440866855</v>
      </c>
      <c r="C5" s="78" t="n">
        <f aca="false">IFERROR((SUMPRODUCT('DCF - Modèle'!$B$45:$F$45,1/(1+$A5)^'DCF - Modèle'!$B$46:$F$46)+('DCF - Modèle'!$F$45*(1+C$3))/($A5-C$3)/(1+$A5)^'DCF - Modèle'!$F$46-'DCF - Modèle'!$B$11)/'DCF - Modèle'!$B$12,"n/a")</f>
        <v>65.6844204083307</v>
      </c>
      <c r="D5" s="78" t="n">
        <f aca="false">IFERROR((SUMPRODUCT('DCF - Modèle'!$B$45:$F$45,1/(1+$A5)^'DCF - Modèle'!$B$46:$F$46)+('DCF - Modèle'!$F$45*(1+D$3))/($A5-D$3)/(1+$A5)^'DCF - Modèle'!$F$46-'DCF - Modèle'!$B$11)/'DCF - Modèle'!$B$12,"n/a")</f>
        <v>78.4907921681186</v>
      </c>
      <c r="E5" s="78" t="n">
        <f aca="false">IFERROR((SUMPRODUCT('DCF - Modèle'!$B$45:$F$45,1/(1+$A5)^'DCF - Modèle'!$B$46:$F$46)+('DCF - Modèle'!$F$45*(1+E$3))/($A5-E$3)/(1+$A5)^'DCF - Modèle'!$F$46-'DCF - Modèle'!$B$11)/'DCF - Modèle'!$B$12,"n/a")</f>
        <v>97.5138492481918</v>
      </c>
      <c r="F5" s="78" t="n">
        <f aca="false">IFERROR((SUMPRODUCT('DCF - Modèle'!$B$45:$F$45,1/(1+$A5)^'DCF - Modèle'!$B$46:$F$46)+('DCF - Modèle'!$F$45*(1+F$3))/($A5-F$3)/(1+$A5)^'DCF - Modèle'!$F$46-'DCF - Modèle'!$B$11)/'DCF - Modèle'!$B$12,"n/a")</f>
        <v>128.731173687286</v>
      </c>
    </row>
    <row r="6" customFormat="false" ht="15" hidden="false" customHeight="false" outlineLevel="0" collapsed="false">
      <c r="A6" s="77" t="n">
        <v>0.0556</v>
      </c>
      <c r="B6" s="78" t="n">
        <f aca="false">IFERROR((SUMPRODUCT('DCF - Modèle'!$B$45:$F$45,1/(1+$A6)^'DCF - Modèle'!$B$46:$F$46)+('DCF - Modèle'!$F$45*(1+B$3))/($A6-B$3)/(1+$A6)^'DCF - Modèle'!$F$46-'DCF - Modèle'!$B$11)/'DCF - Modèle'!$B$12,"n/a")</f>
        <v>42.2799916284506</v>
      </c>
      <c r="C6" s="78" t="n">
        <f aca="false">IFERROR((SUMPRODUCT('DCF - Modèle'!$B$45:$F$45,1/(1+$A6)^'DCF - Modèle'!$B$46:$F$46)+('DCF - Modèle'!$F$45*(1+C$3))/($A6-C$3)/(1+$A6)^'DCF - Modèle'!$F$46-'DCF - Modèle'!$B$11)/'DCF - Modèle'!$B$12,"n/a")</f>
        <v>47.4962775993984</v>
      </c>
      <c r="D6" s="78" t="n">
        <f aca="false">IFERROR((SUMPRODUCT('DCF - Modèle'!$B$45:$F$45,1/(1+$A6)^'DCF - Modèle'!$B$46:$F$46)+('DCF - Modèle'!$F$45*(1+D$3))/($A6-D$3)/(1+$A6)^'DCF - Modèle'!$F$46-'DCF - Modèle'!$B$11)/'DCF - Modèle'!$B$12,"n/a")</f>
        <v>54.17781243859</v>
      </c>
      <c r="E6" s="78" t="n">
        <f aca="false">IFERROR((SUMPRODUCT('DCF - Modèle'!$B$45:$F$45,1/(1+$A6)^'DCF - Modèle'!$B$46:$F$46)+('DCF - Modèle'!$F$45*(1+E$3))/($A6-E$3)/(1+$A6)^'DCF - Modèle'!$F$46-'DCF - Modèle'!$B$11)/'DCF - Modèle'!$B$12,"n/a")</f>
        <v>63.0428553951644</v>
      </c>
      <c r="F6" s="78" t="n">
        <f aca="false">IFERROR((SUMPRODUCT('DCF - Modèle'!$B$45:$F$45,1/(1+$A6)^'DCF - Modèle'!$B$46:$F$46)+('DCF - Modèle'!$F$45*(1+F$3))/($A6-F$3)/(1+$A6)^'DCF - Modèle'!$F$46-'DCF - Modèle'!$B$11)/'DCF - Modèle'!$B$12,"n/a")</f>
        <v>75.3708057566507</v>
      </c>
    </row>
    <row r="7" customFormat="false" ht="15" hidden="false" customHeight="false" outlineLevel="0" collapsed="false">
      <c r="A7" s="77" t="n">
        <v>0.0656</v>
      </c>
      <c r="B7" s="78" t="n">
        <f aca="false">IFERROR((SUMPRODUCT('DCF - Modèle'!$B$45:$F$45,1/(1+$A7)^'DCF - Modèle'!$B$46:$F$46)+('DCF - Modèle'!$F$45*(1+B$3))/($A7-B$3)/(1+$A7)^'DCF - Modèle'!$F$46-'DCF - Modèle'!$B$11)/'DCF - Modèle'!$B$12,"n/a")</f>
        <v>33.1912429894393</v>
      </c>
      <c r="C7" s="78" t="n">
        <f aca="false">IFERROR((SUMPRODUCT('DCF - Modèle'!$B$45:$F$45,1/(1+$A7)^'DCF - Modèle'!$B$46:$F$46)+('DCF - Modèle'!$F$45*(1+C$3))/($A7-C$3)/(1+$A7)^'DCF - Modèle'!$F$46-'DCF - Modèle'!$B$11)/'DCF - Modèle'!$B$12,"n/a")</f>
        <v>36.4968227388902</v>
      </c>
      <c r="D7" s="78" t="n">
        <f aca="false">IFERROR((SUMPRODUCT('DCF - Modèle'!$B$45:$F$45,1/(1+$A7)^'DCF - Modèle'!$B$46:$F$46)+('DCF - Modèle'!$F$45*(1+D$3))/($A7-D$3)/(1+$A7)^'DCF - Modèle'!$F$46-'DCF - Modèle'!$B$11)/'DCF - Modèle'!$B$12,"n/a")</f>
        <v>40.527310328133</v>
      </c>
      <c r="E7" s="78" t="n">
        <f aca="false">IFERROR((SUMPRODUCT('DCF - Modèle'!$B$45:$F$45,1/(1+$A7)^'DCF - Modèle'!$B$46:$F$46)+('DCF - Modèle'!$F$45*(1+E$3))/($A7-E$3)/(1+$A7)^'DCF - Modèle'!$F$46-'DCF - Modèle'!$B$11)/'DCF - Modèle'!$B$12,"n/a")</f>
        <v>45.5505288506867</v>
      </c>
      <c r="F7" s="78" t="n">
        <f aca="false">IFERROR((SUMPRODUCT('DCF - Modèle'!$B$45:$F$45,1/(1+$A7)^'DCF - Modèle'!$B$46:$F$46)+('DCF - Modèle'!$F$45*(1+F$3))/($A7-F$3)/(1+$A7)^'DCF - Modèle'!$F$46-'DCF - Modèle'!$B$11)/'DCF - Modèle'!$B$12,"n/a")</f>
        <v>51.9847638121601</v>
      </c>
    </row>
    <row r="8" customFormat="false" ht="15" hidden="false" customHeight="false" outlineLevel="0" collapsed="false">
      <c r="A8" s="77" t="n">
        <v>0.0756</v>
      </c>
      <c r="B8" s="78" t="n">
        <f aca="false">IFERROR((SUMPRODUCT('DCF - Modèle'!$B$45:$F$45,1/(1+$A8)^'DCF - Modèle'!$B$46:$F$46)+('DCF - Modèle'!$F$45*(1+B$3))/($A8-B$3)/(1+$A8)^'DCF - Modèle'!$F$46-'DCF - Modèle'!$B$11)/'DCF - Modèle'!$B$12,"n/a")</f>
        <v>26.873748761186</v>
      </c>
      <c r="C8" s="78" t="n">
        <f aca="false">IFERROR((SUMPRODUCT('DCF - Modèle'!$B$45:$F$45,1/(1+$A8)^'DCF - Modèle'!$B$46:$F$46)+('DCF - Modèle'!$F$45*(1+C$3))/($A8-C$3)/(1+$A8)^'DCF - Modèle'!$F$46-'DCF - Modèle'!$B$11)/'DCF - Modèle'!$B$12,"n/a")</f>
        <v>29.1273141152832</v>
      </c>
      <c r="D8" s="78" t="n">
        <f aca="false">IFERROR((SUMPRODUCT('DCF - Modèle'!$B$45:$F$45,1/(1+$A8)^'DCF - Modèle'!$B$46:$F$46)+('DCF - Modèle'!$F$45*(1+D$3))/($A8-D$3)/(1+$A8)^'DCF - Modèle'!$F$46-'DCF - Modèle'!$B$11)/'DCF - Modèle'!$B$12,"n/a")</f>
        <v>31.7861969791101</v>
      </c>
      <c r="E8" s="78" t="n">
        <f aca="false">IFERROR((SUMPRODUCT('DCF - Modèle'!$B$45:$F$45,1/(1+$A8)^'DCF - Modèle'!$B$46:$F$46)+('DCF - Modèle'!$F$45*(1+E$3))/($A8-E$3)/(1+$A8)^'DCF - Modèle'!$F$46-'DCF - Modèle'!$B$11)/'DCF - Modèle'!$B$12,"n/a")</f>
        <v>34.9705507646419</v>
      </c>
      <c r="F8" s="78" t="n">
        <f aca="false">IFERROR((SUMPRODUCT('DCF - Modèle'!$B$45:$F$45,1/(1+$A8)^'DCF - Modèle'!$B$46:$F$46)+('DCF - Modèle'!$F$45*(1+F$3))/($A8-F$3)/(1+$A8)^'DCF - Modèle'!$F$46-'DCF - Modèle'!$B$11)/'DCF - Modèle'!$B$12,"n/a")</f>
        <v>38.8532277487553</v>
      </c>
    </row>
  </sheetData>
  <conditionalFormatting sqref="B4:F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7" min="5" style="0" width="11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75" t="s">
        <v>96</v>
      </c>
      <c r="B3" s="75" t="s">
        <v>97</v>
      </c>
      <c r="C3" s="75" t="s">
        <v>98</v>
      </c>
      <c r="D3" s="75" t="s">
        <v>99</v>
      </c>
      <c r="E3" s="75" t="s">
        <v>100</v>
      </c>
      <c r="F3" s="75" t="s">
        <v>101</v>
      </c>
      <c r="G3" s="75" t="s">
        <v>102</v>
      </c>
      <c r="H3" s="75" t="s">
        <v>103</v>
      </c>
    </row>
    <row r="4" customFormat="false" ht="15" hidden="false" customHeight="false" outlineLevel="0" collapsed="false">
      <c r="A4" s="79" t="s">
        <v>104</v>
      </c>
      <c r="B4" s="80" t="s">
        <v>105</v>
      </c>
      <c r="C4" s="81" t="n">
        <v>177238.50752</v>
      </c>
      <c r="D4" s="81" t="n">
        <v>219764.686848</v>
      </c>
      <c r="E4" s="82" t="n">
        <v>17.005241</v>
      </c>
      <c r="F4" s="82" t="n">
        <v>14.456196</v>
      </c>
      <c r="G4" s="82" t="n">
        <v>11.639</v>
      </c>
      <c r="H4" s="82" t="n">
        <v>2.268</v>
      </c>
    </row>
    <row r="5" customFormat="false" ht="15" hidden="false" customHeight="false" outlineLevel="0" collapsed="false">
      <c r="A5" s="79" t="s">
        <v>106</v>
      </c>
      <c r="B5" s="80" t="s">
        <v>107</v>
      </c>
      <c r="C5" s="81" t="n">
        <v>42131.16928</v>
      </c>
      <c r="D5" s="81" t="n">
        <v>82747.170816</v>
      </c>
      <c r="E5" s="82" t="n">
        <v>31.272726</v>
      </c>
      <c r="F5" s="82" t="n">
        <v>12.21456</v>
      </c>
      <c r="G5" s="82" t="n">
        <v>17.214</v>
      </c>
      <c r="H5" s="82" t="n">
        <v>4.119</v>
      </c>
    </row>
    <row r="6" customFormat="false" ht="15" hidden="false" customHeight="false" outlineLevel="0" collapsed="false">
      <c r="A6" s="79" t="s">
        <v>108</v>
      </c>
      <c r="B6" s="80" t="s">
        <v>109</v>
      </c>
      <c r="C6" s="81" t="n">
        <v>87589.199872</v>
      </c>
      <c r="D6" s="81" t="n">
        <v>84262.879232</v>
      </c>
      <c r="E6" s="82" t="n">
        <v>41.398144</v>
      </c>
      <c r="F6" s="82" t="n">
        <v>34.15219</v>
      </c>
      <c r="G6" s="82" t="n">
        <v>28.726</v>
      </c>
      <c r="H6" s="82" t="n">
        <v>9.14</v>
      </c>
    </row>
    <row r="7" customFormat="false" ht="15" hidden="false" customHeight="false" outlineLevel="0" collapsed="false">
      <c r="A7" s="79" t="s">
        <v>110</v>
      </c>
      <c r="B7" s="80" t="s">
        <v>111</v>
      </c>
      <c r="C7" s="81" t="n">
        <v>7090.041856</v>
      </c>
      <c r="D7" s="81" t="n">
        <v>8893.632512</v>
      </c>
      <c r="E7" s="82" t="n">
        <v>121.82609</v>
      </c>
      <c r="F7" s="82" t="n">
        <v>16.18652</v>
      </c>
      <c r="G7" s="82" t="n">
        <v>13.24</v>
      </c>
      <c r="H7" s="82" t="n">
        <v>2.919</v>
      </c>
    </row>
    <row r="8" customFormat="false" ht="15" hidden="false" customHeight="false" outlineLevel="0" collapsed="false">
      <c r="A8" s="79" t="s">
        <v>112</v>
      </c>
      <c r="B8" s="80" t="s">
        <v>113</v>
      </c>
      <c r="C8" s="81" t="n">
        <v>2958.243584</v>
      </c>
      <c r="D8" s="81" t="n">
        <v>2904.966656</v>
      </c>
      <c r="E8" s="82" t="n">
        <v>16.989248</v>
      </c>
      <c r="F8" s="82" t="n">
        <v>16.163269</v>
      </c>
      <c r="G8" s="82" t="n">
        <v>12.034</v>
      </c>
      <c r="H8" s="82" t="n">
        <v>2.46</v>
      </c>
    </row>
    <row r="9" customFormat="false" ht="15" hidden="false" customHeight="false" outlineLevel="0" collapsed="false">
      <c r="A9" s="79" t="s">
        <v>114</v>
      </c>
      <c r="B9" s="80" t="s">
        <v>115</v>
      </c>
      <c r="C9" s="81" t="n">
        <v>20320.59392</v>
      </c>
      <c r="D9" s="81" t="n">
        <v>31045.82656</v>
      </c>
      <c r="E9" s="82" t="n">
        <v>11.319695</v>
      </c>
      <c r="F9" s="82" t="n">
        <v>9.626907</v>
      </c>
      <c r="G9" s="82" t="n">
        <v>8.984</v>
      </c>
      <c r="H9" s="82" t="n">
        <v>3.428</v>
      </c>
    </row>
    <row r="11" customFormat="false" ht="15" hidden="false" customHeight="false" outlineLevel="0" collapsed="false">
      <c r="A11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2"/>
    <col collapsed="false" customWidth="true" hidden="false" outlineLevel="0" max="4" min="4" style="0" width="29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83" t="s">
        <v>118</v>
      </c>
    </row>
    <row r="4" customFormat="false" ht="15" hidden="false" customHeight="false" outlineLevel="0" collapsed="false">
      <c r="A4" s="80" t="s">
        <v>119</v>
      </c>
      <c r="B4" s="84" t="n">
        <v>47941</v>
      </c>
    </row>
    <row r="5" customFormat="false" ht="15" hidden="false" customHeight="false" outlineLevel="0" collapsed="false">
      <c r="A5" s="80" t="s">
        <v>120</v>
      </c>
      <c r="B5" s="84" t="n">
        <v>18702</v>
      </c>
    </row>
    <row r="6" customFormat="false" ht="15" hidden="false" customHeight="false" outlineLevel="0" collapsed="false">
      <c r="A6" s="80" t="s">
        <v>121</v>
      </c>
      <c r="B6" s="84" t="n">
        <v>13107</v>
      </c>
    </row>
    <row r="8" customFormat="false" ht="15" hidden="false" customHeight="false" outlineLevel="0" collapsed="false">
      <c r="A8" s="80" t="s">
        <v>48</v>
      </c>
      <c r="B8" s="85" t="n">
        <f aca="false">'DCF - Modèle'!$B$11</f>
        <v>35222</v>
      </c>
    </row>
    <row r="9" customFormat="false" ht="15" hidden="false" customHeight="false" outlineLevel="0" collapsed="false">
      <c r="A9" s="80" t="s">
        <v>49</v>
      </c>
      <c r="B9" s="86" t="n">
        <f aca="false">'DCF - Modèle'!$B$12</f>
        <v>4302.549050017</v>
      </c>
    </row>
    <row r="12" customFormat="false" ht="15" hidden="false" customHeight="false" outlineLevel="0" collapsed="false">
      <c r="A12" s="75" t="s">
        <v>122</v>
      </c>
      <c r="B12" s="75" t="s">
        <v>123</v>
      </c>
      <c r="C12" s="75" t="s">
        <v>124</v>
      </c>
      <c r="D12" s="75" t="s">
        <v>125</v>
      </c>
    </row>
    <row r="13" customFormat="false" ht="15" hidden="false" customHeight="false" outlineLevel="0" collapsed="false">
      <c r="A13" s="79" t="s">
        <v>102</v>
      </c>
      <c r="B13" s="82" t="n">
        <f aca="false">MEDIAN('Comps - Peers'!G:G)</f>
        <v>12.637</v>
      </c>
      <c r="C13" s="81" t="n">
        <f aca="false">B13*$B$5</f>
        <v>236337.174</v>
      </c>
      <c r="D13" s="78" t="n">
        <f aca="false">(C13-$B$8)/$B$9</f>
        <v>46.7432611835548</v>
      </c>
    </row>
    <row r="14" customFormat="false" ht="15" hidden="false" customHeight="false" outlineLevel="0" collapsed="false">
      <c r="A14" s="79" t="s">
        <v>103</v>
      </c>
      <c r="B14" s="82" t="n">
        <f aca="false">MEDIAN('Comps - Peers'!H:H)</f>
        <v>3.1735</v>
      </c>
      <c r="C14" s="81" t="n">
        <f aca="false">B14*$B$4</f>
        <v>152140.7635</v>
      </c>
      <c r="D14" s="78" t="n">
        <f aca="false">(C14-$B$8)/$B$9</f>
        <v>27.1743011272674</v>
      </c>
    </row>
    <row r="15" customFormat="false" ht="15" hidden="false" customHeight="false" outlineLevel="0" collapsed="false">
      <c r="A15" s="79" t="s">
        <v>100</v>
      </c>
      <c r="B15" s="82" t="n">
        <f aca="false">MEDIAN('Comps - Peers'!E:E)</f>
        <v>24.1389835</v>
      </c>
      <c r="C15" s="81" t="n">
        <f aca="false">B15*$B$6</f>
        <v>316389.6567345</v>
      </c>
      <c r="D15" s="78" t="n">
        <f aca="false">C15/$B$9</f>
        <v>73.5353979830283</v>
      </c>
    </row>
    <row r="16" customFormat="false" ht="15" hidden="false" customHeight="false" outlineLevel="0" collapsed="false">
      <c r="A16" s="79" t="s">
        <v>126</v>
      </c>
      <c r="D16" s="87" t="n">
        <f aca="false">AVERAGE(D13:D15)</f>
        <v>49.1509867646168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9"/>
    <col collapsed="false" customWidth="true" hidden="false" outlineLevel="0" max="3" min="3" style="0" width="10"/>
    <col collapsed="false" customWidth="true" hidden="false" outlineLevel="0" max="4" min="4" style="0" width="19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75" t="s">
        <v>122</v>
      </c>
      <c r="B4" s="75" t="s">
        <v>129</v>
      </c>
      <c r="C4" s="75" t="s">
        <v>130</v>
      </c>
      <c r="D4" s="75" t="s">
        <v>131</v>
      </c>
    </row>
    <row r="5" customFormat="false" ht="15" hidden="false" customHeight="false" outlineLevel="0" collapsed="false">
      <c r="A5" s="79" t="s">
        <v>132</v>
      </c>
      <c r="B5" s="78" t="n">
        <v>34.0204935158685</v>
      </c>
      <c r="C5" s="78" t="n">
        <f aca="false">D5-B5</f>
        <v>53.8014181629842</v>
      </c>
      <c r="D5" s="78" t="n">
        <v>87.8219116788527</v>
      </c>
    </row>
    <row r="6" customFormat="false" ht="15" hidden="false" customHeight="false" outlineLevel="0" collapsed="false">
      <c r="A6" s="79" t="s">
        <v>133</v>
      </c>
      <c r="B6" s="78" t="n">
        <v>27.1743011272674</v>
      </c>
      <c r="C6" s="78" t="n">
        <f aca="false">D6-B6</f>
        <v>46.3610968557609</v>
      </c>
      <c r="D6" s="78" t="n">
        <v>73.5353979830283</v>
      </c>
    </row>
    <row r="7" customFormat="false" ht="15" hidden="false" customHeight="false" outlineLevel="0" collapsed="false">
      <c r="A7" s="79" t="s">
        <v>134</v>
      </c>
      <c r="B7" s="78" t="n">
        <v>65.35</v>
      </c>
      <c r="C7" s="78" t="n">
        <f aca="false">D7-B7</f>
        <v>27.14</v>
      </c>
      <c r="D7" s="78" t="n">
        <v>92.49</v>
      </c>
    </row>
    <row r="8" customFormat="false" ht="15" hidden="false" customHeight="false" outlineLevel="0" collapsed="false">
      <c r="A8" s="79" t="s">
        <v>3</v>
      </c>
      <c r="B8" s="78" t="n">
        <v>87.75</v>
      </c>
      <c r="C8" s="78" t="n">
        <f aca="false">D8-B8</f>
        <v>1</v>
      </c>
      <c r="D8" s="78" t="n">
        <v>88.75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75" t="s">
        <v>136</v>
      </c>
      <c r="B3" s="75" t="s">
        <v>137</v>
      </c>
      <c r="C3" s="75" t="s">
        <v>138</v>
      </c>
      <c r="D3" s="75" t="s">
        <v>139</v>
      </c>
      <c r="E3" s="75" t="s">
        <v>140</v>
      </c>
      <c r="F3" s="75" t="s">
        <v>141</v>
      </c>
    </row>
    <row r="4" customFormat="false" ht="15" hidden="false" customHeight="false" outlineLevel="0" collapsed="false">
      <c r="A4" s="79" t="s">
        <v>142</v>
      </c>
      <c r="B4" s="88"/>
      <c r="C4" s="88" t="n">
        <v>-205.073</v>
      </c>
      <c r="D4" s="88" t="n">
        <v>-310.938</v>
      </c>
      <c r="E4" s="88" t="n">
        <v>-373.76272352132</v>
      </c>
      <c r="F4" s="88" t="n">
        <v>3.397862232779</v>
      </c>
    </row>
    <row r="5" customFormat="false" ht="15" hidden="false" customHeight="false" outlineLevel="0" collapsed="false">
      <c r="A5" s="79" t="s">
        <v>143</v>
      </c>
      <c r="B5" s="88"/>
      <c r="C5" s="88" t="n">
        <v>1.81E-007</v>
      </c>
      <c r="D5" s="88" t="n">
        <v>1.74E-007</v>
      </c>
      <c r="E5" s="88" t="n">
        <v>1.8623E-007</v>
      </c>
      <c r="F5" s="88" t="n">
        <v>1.78835E-007</v>
      </c>
    </row>
    <row r="6" customFormat="false" ht="15" hidden="false" customHeight="false" outlineLevel="0" collapsed="false">
      <c r="A6" s="79" t="s">
        <v>144</v>
      </c>
      <c r="B6" s="88"/>
      <c r="C6" s="88" t="n">
        <v>14961</v>
      </c>
      <c r="D6" s="88" t="n">
        <v>17394</v>
      </c>
      <c r="E6" s="88" t="n">
        <v>17803</v>
      </c>
      <c r="F6" s="88" t="n">
        <v>18683</v>
      </c>
    </row>
    <row r="7" customFormat="false" ht="15" hidden="false" customHeight="false" outlineLevel="0" collapsed="false">
      <c r="A7" s="79" t="s">
        <v>145</v>
      </c>
      <c r="B7" s="88"/>
      <c r="C7" s="88" t="n">
        <v>-1133</v>
      </c>
      <c r="D7" s="88" t="n">
        <v>-1787</v>
      </c>
      <c r="E7" s="88" t="n">
        <v>-1986</v>
      </c>
      <c r="F7" s="88" t="n">
        <v>19</v>
      </c>
    </row>
    <row r="8" customFormat="false" ht="15" hidden="false" customHeight="false" outlineLevel="0" collapsed="false">
      <c r="A8" s="79" t="s">
        <v>146</v>
      </c>
      <c r="B8" s="88"/>
      <c r="C8" s="88" t="n">
        <v>-1133</v>
      </c>
      <c r="D8" s="88" t="n">
        <v>-1787</v>
      </c>
      <c r="E8" s="88" t="n">
        <v>-1986</v>
      </c>
      <c r="F8" s="88" t="n">
        <v>19</v>
      </c>
    </row>
    <row r="9" customFormat="false" ht="15" hidden="false" customHeight="false" outlineLevel="0" collapsed="false">
      <c r="A9" s="79" t="s">
        <v>147</v>
      </c>
      <c r="B9" s="88"/>
      <c r="C9" s="88" t="n">
        <v>9542</v>
      </c>
      <c r="D9" s="88" t="n">
        <v>10714</v>
      </c>
      <c r="E9" s="88" t="n">
        <v>10631</v>
      </c>
      <c r="F9" s="88" t="n">
        <v>13107</v>
      </c>
    </row>
    <row r="10" customFormat="false" ht="15" hidden="false" customHeight="false" outlineLevel="0" collapsed="false">
      <c r="A10" s="79" t="s">
        <v>148</v>
      </c>
      <c r="B10" s="88"/>
      <c r="C10" s="88" t="n">
        <v>1260</v>
      </c>
      <c r="D10" s="88" t="n">
        <v>1128</v>
      </c>
      <c r="E10" s="88" t="n">
        <v>1075</v>
      </c>
      <c r="F10" s="88" t="n">
        <v>1050</v>
      </c>
    </row>
    <row r="11" customFormat="false" ht="15" hidden="false" customHeight="false" outlineLevel="0" collapsed="false">
      <c r="A11" s="79" t="s">
        <v>149</v>
      </c>
      <c r="B11" s="88"/>
      <c r="C11" s="88" t="n">
        <v>18000</v>
      </c>
      <c r="D11" s="88" t="n">
        <v>18520</v>
      </c>
      <c r="E11" s="88" t="n">
        <v>18324</v>
      </c>
      <c r="F11" s="88" t="n">
        <v>17362</v>
      </c>
    </row>
    <row r="12" customFormat="false" ht="15" hidden="false" customHeight="false" outlineLevel="0" collapsed="false">
      <c r="A12" s="79" t="s">
        <v>150</v>
      </c>
      <c r="B12" s="88"/>
      <c r="C12" s="88" t="n">
        <v>13828</v>
      </c>
      <c r="D12" s="88" t="n">
        <v>15607</v>
      </c>
      <c r="E12" s="88" t="n">
        <v>15817</v>
      </c>
      <c r="F12" s="88" t="n">
        <v>18702</v>
      </c>
    </row>
    <row r="13" customFormat="false" ht="15" hidden="false" customHeight="false" outlineLevel="0" collapsed="false">
      <c r="A13" s="79" t="s">
        <v>151</v>
      </c>
      <c r="B13" s="88"/>
      <c r="C13" s="88" t="n">
        <v>12568</v>
      </c>
      <c r="D13" s="88" t="n">
        <v>14479</v>
      </c>
      <c r="E13" s="88" t="n">
        <v>14742</v>
      </c>
      <c r="F13" s="88" t="n">
        <v>17652</v>
      </c>
    </row>
    <row r="14" customFormat="false" ht="15" hidden="false" customHeight="false" outlineLevel="0" collapsed="false">
      <c r="A14" s="79" t="s">
        <v>152</v>
      </c>
      <c r="B14" s="88"/>
      <c r="C14" s="88" t="n">
        <v>-433</v>
      </c>
      <c r="D14" s="88" t="n">
        <v>-620</v>
      </c>
      <c r="E14" s="88" t="n">
        <v>-668</v>
      </c>
      <c r="F14" s="88" t="n">
        <v>-868</v>
      </c>
    </row>
    <row r="15" customFormat="false" ht="15" hidden="false" customHeight="false" outlineLevel="0" collapsed="false">
      <c r="A15" s="79" t="s">
        <v>153</v>
      </c>
      <c r="B15" s="88"/>
      <c r="C15" s="88" t="n">
        <v>882</v>
      </c>
      <c r="D15" s="88" t="n">
        <v>1527</v>
      </c>
      <c r="E15" s="88" t="n">
        <v>1656</v>
      </c>
      <c r="F15" s="88" t="n">
        <v>1654</v>
      </c>
    </row>
    <row r="16" customFormat="false" ht="15" hidden="false" customHeight="false" outlineLevel="0" collapsed="false">
      <c r="A16" s="79" t="s">
        <v>154</v>
      </c>
      <c r="B16" s="88"/>
      <c r="C16" s="88" t="n">
        <v>449</v>
      </c>
      <c r="D16" s="88" t="n">
        <v>907</v>
      </c>
      <c r="E16" s="88" t="n">
        <v>988</v>
      </c>
      <c r="F16" s="88" t="n">
        <v>786</v>
      </c>
    </row>
    <row r="17" customFormat="false" ht="15" hidden="false" customHeight="false" outlineLevel="0" collapsed="false">
      <c r="A17" s="79" t="s">
        <v>155</v>
      </c>
      <c r="B17" s="88"/>
      <c r="C17" s="88" t="n">
        <v>10469.927</v>
      </c>
      <c r="D17" s="88" t="n">
        <v>12190.062</v>
      </c>
      <c r="E17" s="88" t="n">
        <v>12264.2372764787</v>
      </c>
      <c r="F17" s="88" t="n">
        <v>13091.3978622328</v>
      </c>
    </row>
    <row r="18" customFormat="false" ht="15" hidden="false" customHeight="false" outlineLevel="0" collapsed="false">
      <c r="A18" s="79" t="s">
        <v>156</v>
      </c>
      <c r="B18" s="88"/>
      <c r="C18" s="88" t="n">
        <v>9542</v>
      </c>
      <c r="D18" s="88" t="n">
        <v>10714</v>
      </c>
      <c r="E18" s="88" t="n">
        <v>10631</v>
      </c>
      <c r="F18" s="88" t="n">
        <v>13107</v>
      </c>
    </row>
    <row r="19" customFormat="false" ht="15" hidden="false" customHeight="false" outlineLevel="0" collapsed="false">
      <c r="A19" s="79" t="s">
        <v>157</v>
      </c>
      <c r="B19" s="88"/>
      <c r="C19" s="88" t="n">
        <v>30962</v>
      </c>
      <c r="D19" s="88" t="n">
        <v>32656</v>
      </c>
      <c r="E19" s="88" t="n">
        <v>33039</v>
      </c>
      <c r="F19" s="88" t="n">
        <v>33030</v>
      </c>
    </row>
    <row r="20" customFormat="false" ht="15" hidden="false" customHeight="false" outlineLevel="0" collapsed="false">
      <c r="A20" s="79" t="s">
        <v>158</v>
      </c>
      <c r="B20" s="88"/>
      <c r="C20" s="88" t="n">
        <v>10909</v>
      </c>
      <c r="D20" s="88" t="n">
        <v>11311</v>
      </c>
      <c r="E20" s="88" t="n">
        <v>9992</v>
      </c>
      <c r="F20" s="88" t="n">
        <v>13762</v>
      </c>
    </row>
    <row r="21" customFormat="false" ht="15" hidden="false" customHeight="false" outlineLevel="0" collapsed="false">
      <c r="A21" s="79" t="s">
        <v>159</v>
      </c>
      <c r="B21" s="88"/>
      <c r="C21" s="88" t="n">
        <v>4350</v>
      </c>
      <c r="D21" s="88" t="n">
        <v>4339</v>
      </c>
      <c r="E21" s="88" t="n">
        <v>4320</v>
      </c>
      <c r="F21" s="88" t="n">
        <v>4313</v>
      </c>
    </row>
    <row r="22" customFormat="false" ht="15" hidden="false" customHeight="false" outlineLevel="0" collapsed="false">
      <c r="A22" s="79" t="s">
        <v>160</v>
      </c>
      <c r="B22" s="88"/>
      <c r="C22" s="88" t="n">
        <v>4328</v>
      </c>
      <c r="D22" s="88" t="n">
        <v>4323</v>
      </c>
      <c r="E22" s="88" t="n">
        <v>4309</v>
      </c>
      <c r="F22" s="88" t="n">
        <v>4303</v>
      </c>
    </row>
    <row r="23" customFormat="false" ht="15" hidden="false" customHeight="false" outlineLevel="0" collapsed="false">
      <c r="A23" s="79" t="s">
        <v>161</v>
      </c>
      <c r="B23" s="88"/>
      <c r="C23" s="88" t="n">
        <v>2.19E-006</v>
      </c>
      <c r="D23" s="88" t="n">
        <v>2.47E-006</v>
      </c>
      <c r="E23" s="88" t="n">
        <v>2.46E-006</v>
      </c>
      <c r="F23" s="88" t="n">
        <v>3.04E-006</v>
      </c>
    </row>
    <row r="24" customFormat="false" ht="15" hidden="false" customHeight="false" outlineLevel="0" collapsed="false">
      <c r="A24" s="79" t="s">
        <v>162</v>
      </c>
      <c r="B24" s="88"/>
      <c r="C24" s="88" t="n">
        <v>2.2E-006</v>
      </c>
      <c r="D24" s="88" t="n">
        <v>2.48E-006</v>
      </c>
      <c r="E24" s="88" t="n">
        <v>2.47E-006</v>
      </c>
      <c r="F24" s="88" t="n">
        <v>3.05E-006</v>
      </c>
    </row>
    <row r="25" customFormat="false" ht="15" hidden="false" customHeight="false" outlineLevel="0" collapsed="false">
      <c r="A25" s="79" t="s">
        <v>163</v>
      </c>
      <c r="B25" s="88"/>
      <c r="C25" s="88" t="n">
        <v>9542</v>
      </c>
      <c r="D25" s="88" t="n">
        <v>10714</v>
      </c>
      <c r="E25" s="88" t="n">
        <v>10631</v>
      </c>
      <c r="F25" s="88" t="n">
        <v>13107</v>
      </c>
    </row>
    <row r="26" customFormat="false" ht="15" hidden="false" customHeight="false" outlineLevel="0" collapsed="false">
      <c r="A26" s="79" t="s">
        <v>164</v>
      </c>
      <c r="B26" s="88"/>
      <c r="C26" s="88" t="n">
        <v>9542</v>
      </c>
      <c r="D26" s="88" t="n">
        <v>10714</v>
      </c>
      <c r="E26" s="88" t="n">
        <v>10631</v>
      </c>
      <c r="F26" s="88" t="n">
        <v>13107</v>
      </c>
    </row>
    <row r="27" customFormat="false" ht="15" hidden="false" customHeight="false" outlineLevel="0" collapsed="false">
      <c r="A27" s="79" t="s">
        <v>165</v>
      </c>
      <c r="B27" s="88"/>
      <c r="C27" s="88" t="n">
        <v>9542</v>
      </c>
      <c r="D27" s="88" t="n">
        <v>10714</v>
      </c>
      <c r="E27" s="88" t="n">
        <v>10631</v>
      </c>
      <c r="F27" s="88" t="n">
        <v>13107</v>
      </c>
    </row>
    <row r="28" customFormat="false" ht="15" hidden="false" customHeight="false" outlineLevel="0" collapsed="false">
      <c r="A28" s="79" t="s">
        <v>166</v>
      </c>
      <c r="B28" s="88"/>
      <c r="C28" s="88" t="n">
        <v>-29</v>
      </c>
      <c r="D28" s="88" t="n">
        <v>11</v>
      </c>
      <c r="E28" s="88" t="n">
        <v>-18</v>
      </c>
      <c r="F28" s="88" t="n">
        <v>-30</v>
      </c>
    </row>
    <row r="29" customFormat="false" ht="15" hidden="false" customHeight="false" outlineLevel="0" collapsed="false">
      <c r="A29" s="79" t="s">
        <v>167</v>
      </c>
      <c r="B29" s="88"/>
      <c r="C29" s="88" t="n">
        <v>9571</v>
      </c>
      <c r="D29" s="88" t="n">
        <v>10703</v>
      </c>
      <c r="E29" s="88" t="n">
        <v>10649</v>
      </c>
      <c r="F29" s="88" t="n">
        <v>13137</v>
      </c>
    </row>
    <row r="30" customFormat="false" ht="15" hidden="false" customHeight="false" outlineLevel="0" collapsed="false">
      <c r="A30" s="79" t="s">
        <v>168</v>
      </c>
      <c r="B30" s="88"/>
      <c r="C30" s="88" t="n">
        <v>9571</v>
      </c>
      <c r="D30" s="88" t="n">
        <v>10703</v>
      </c>
      <c r="E30" s="88" t="n">
        <v>10649</v>
      </c>
      <c r="F30" s="88" t="n">
        <v>13137</v>
      </c>
    </row>
    <row r="31" customFormat="false" ht="15" hidden="false" customHeight="false" outlineLevel="0" collapsed="false">
      <c r="A31" s="79" t="s">
        <v>169</v>
      </c>
      <c r="B31" s="88"/>
      <c r="C31" s="88" t="n">
        <v>2115</v>
      </c>
      <c r="D31" s="88" t="n">
        <v>2249</v>
      </c>
      <c r="E31" s="88" t="n">
        <v>2437</v>
      </c>
      <c r="F31" s="88" t="n">
        <v>2861</v>
      </c>
    </row>
    <row r="32" customFormat="false" ht="15" hidden="false" customHeight="false" outlineLevel="0" collapsed="false">
      <c r="A32" s="79" t="s">
        <v>170</v>
      </c>
      <c r="B32" s="88"/>
      <c r="C32" s="88" t="n">
        <v>11686</v>
      </c>
      <c r="D32" s="88" t="n">
        <v>12952</v>
      </c>
      <c r="E32" s="88" t="n">
        <v>13086</v>
      </c>
      <c r="F32" s="88" t="n">
        <v>15998</v>
      </c>
    </row>
    <row r="33" customFormat="false" ht="15" hidden="false" customHeight="false" outlineLevel="0" collapsed="false">
      <c r="A33" s="79" t="s">
        <v>171</v>
      </c>
      <c r="B33" s="88"/>
      <c r="C33" s="88" t="n">
        <v>77</v>
      </c>
      <c r="D33" s="88" t="n">
        <v>474</v>
      </c>
      <c r="E33" s="88" t="n">
        <v>-268</v>
      </c>
      <c r="F33" s="88" t="n">
        <v>1955</v>
      </c>
    </row>
    <row r="34" customFormat="false" ht="15" hidden="false" customHeight="false" outlineLevel="0" collapsed="false">
      <c r="A34" s="79" t="s">
        <v>172</v>
      </c>
      <c r="B34" s="88"/>
      <c r="C34" s="88" t="n">
        <v>-262</v>
      </c>
      <c r="D34" s="88" t="n">
        <v>570</v>
      </c>
      <c r="E34" s="88" t="n">
        <v>-52</v>
      </c>
      <c r="F34" s="88" t="n">
        <v>-95</v>
      </c>
    </row>
    <row r="35" customFormat="false" ht="15" hidden="false" customHeight="false" outlineLevel="0" collapsed="false">
      <c r="A35" s="79" t="s">
        <v>173</v>
      </c>
      <c r="B35" s="88"/>
      <c r="C35" s="88" t="n">
        <v>-1133</v>
      </c>
      <c r="D35" s="88" t="n">
        <v>-1787</v>
      </c>
      <c r="E35" s="88" t="n">
        <v>-2301</v>
      </c>
      <c r="F35" s="88" t="n">
        <v>-501</v>
      </c>
    </row>
    <row r="36" customFormat="false" ht="15" hidden="false" customHeight="false" outlineLevel="0" collapsed="false">
      <c r="A36" s="79" t="s">
        <v>174</v>
      </c>
      <c r="B36" s="88"/>
      <c r="C36" s="88"/>
      <c r="D36" s="88" t="n">
        <v>-35</v>
      </c>
      <c r="E36" s="88"/>
      <c r="F36" s="88"/>
    </row>
    <row r="37" customFormat="false" ht="15" hidden="false" customHeight="false" outlineLevel="0" collapsed="false">
      <c r="A37" s="79" t="s">
        <v>175</v>
      </c>
      <c r="B37" s="88" t="n">
        <v>809</v>
      </c>
      <c r="C37" s="88"/>
      <c r="D37" s="88" t="n">
        <v>-35</v>
      </c>
      <c r="E37" s="88" t="n">
        <v>842</v>
      </c>
      <c r="F37" s="88" t="n">
        <v>635</v>
      </c>
    </row>
    <row r="38" customFormat="false" ht="15" hidden="false" customHeight="false" outlineLevel="0" collapsed="false">
      <c r="A38" s="79" t="s">
        <v>176</v>
      </c>
      <c r="B38" s="88"/>
      <c r="C38" s="88" t="n">
        <v>-219</v>
      </c>
      <c r="D38" s="88" t="n">
        <v>-42</v>
      </c>
      <c r="E38" s="88" t="n">
        <v>-23</v>
      </c>
      <c r="F38" s="88" t="n">
        <v>10</v>
      </c>
    </row>
    <row r="39" customFormat="false" ht="15" hidden="false" customHeight="false" outlineLevel="0" collapsed="false">
      <c r="A39" s="79" t="s">
        <v>177</v>
      </c>
      <c r="B39" s="88"/>
      <c r="C39" s="88" t="n">
        <v>96</v>
      </c>
      <c r="D39" s="88" t="n">
        <v>39</v>
      </c>
      <c r="E39" s="88" t="n">
        <v>34</v>
      </c>
      <c r="F39" s="88" t="n">
        <v>65</v>
      </c>
    </row>
    <row r="40" customFormat="false" ht="15" hidden="false" customHeight="false" outlineLevel="0" collapsed="false">
      <c r="A40" s="79" t="s">
        <v>178</v>
      </c>
      <c r="B40" s="88" t="n">
        <v>78</v>
      </c>
      <c r="C40" s="88" t="n">
        <v>57</v>
      </c>
      <c r="D40" s="88"/>
      <c r="E40" s="88" t="n">
        <v>886</v>
      </c>
      <c r="F40" s="88" t="n">
        <v>1045</v>
      </c>
    </row>
    <row r="41" customFormat="false" ht="15" hidden="false" customHeight="false" outlineLevel="0" collapsed="false">
      <c r="A41" s="79" t="s">
        <v>179</v>
      </c>
      <c r="B41" s="88"/>
      <c r="C41" s="88" t="n">
        <v>1076</v>
      </c>
      <c r="D41" s="88" t="n">
        <v>1744</v>
      </c>
      <c r="E41" s="88" t="n">
        <v>2246</v>
      </c>
      <c r="F41" s="88" t="n">
        <v>16</v>
      </c>
    </row>
    <row r="42" customFormat="false" ht="15" hidden="false" customHeight="false" outlineLevel="0" collapsed="false">
      <c r="A42" s="79" t="s">
        <v>180</v>
      </c>
      <c r="B42" s="88"/>
      <c r="C42" s="88" t="n">
        <v>1472</v>
      </c>
      <c r="D42" s="88" t="n">
        <v>1691</v>
      </c>
      <c r="E42" s="88" t="n">
        <v>1770</v>
      </c>
      <c r="F42" s="88" t="n">
        <v>2031</v>
      </c>
    </row>
    <row r="43" customFormat="false" ht="15" hidden="false" customHeight="false" outlineLevel="0" collapsed="false">
      <c r="A43" s="79" t="s">
        <v>181</v>
      </c>
      <c r="B43" s="88"/>
      <c r="C43" s="88" t="n">
        <v>-496</v>
      </c>
      <c r="D43" s="88" t="n">
        <v>185</v>
      </c>
      <c r="E43" s="88" t="n">
        <v>315</v>
      </c>
      <c r="F43" s="88" t="n">
        <v>520</v>
      </c>
    </row>
    <row r="44" customFormat="false" ht="15" hidden="false" customHeight="false" outlineLevel="0" collapsed="false">
      <c r="A44" s="79" t="s">
        <v>182</v>
      </c>
      <c r="B44" s="88"/>
      <c r="C44" s="88" t="n">
        <v>-433</v>
      </c>
      <c r="D44" s="88" t="n">
        <v>-620</v>
      </c>
      <c r="E44" s="88" t="n">
        <v>-668</v>
      </c>
      <c r="F44" s="88" t="n">
        <v>-868</v>
      </c>
    </row>
    <row r="45" customFormat="false" ht="15" hidden="false" customHeight="false" outlineLevel="0" collapsed="false">
      <c r="A45" s="79" t="s">
        <v>183</v>
      </c>
      <c r="B45" s="88"/>
      <c r="C45" s="88" t="n">
        <v>882</v>
      </c>
      <c r="D45" s="88" t="n">
        <v>1527</v>
      </c>
      <c r="E45" s="88" t="n">
        <v>1656</v>
      </c>
      <c r="F45" s="88" t="n">
        <v>1654</v>
      </c>
    </row>
    <row r="46" customFormat="false" ht="15" hidden="false" customHeight="false" outlineLevel="0" collapsed="false">
      <c r="A46" s="79" t="s">
        <v>184</v>
      </c>
      <c r="B46" s="88"/>
      <c r="C46" s="88" t="n">
        <v>449</v>
      </c>
      <c r="D46" s="88" t="n">
        <v>907</v>
      </c>
      <c r="E46" s="88" t="n">
        <v>988</v>
      </c>
      <c r="F46" s="88" t="n">
        <v>786</v>
      </c>
    </row>
    <row r="47" customFormat="false" ht="15" hidden="false" customHeight="false" outlineLevel="0" collapsed="false">
      <c r="A47" s="79" t="s">
        <v>185</v>
      </c>
      <c r="B47" s="88"/>
      <c r="C47" s="88" t="n">
        <v>12042</v>
      </c>
      <c r="D47" s="88" t="n">
        <v>13098</v>
      </c>
      <c r="E47" s="88" t="n">
        <v>14022</v>
      </c>
      <c r="F47" s="88" t="n">
        <v>14911</v>
      </c>
    </row>
    <row r="48" customFormat="false" ht="15" hidden="false" customHeight="false" outlineLevel="0" collapsed="false">
      <c r="A48" s="79" t="s">
        <v>186</v>
      </c>
      <c r="B48" s="88"/>
      <c r="C48" s="88" t="n">
        <v>12962</v>
      </c>
      <c r="D48" s="88" t="n">
        <v>14136</v>
      </c>
      <c r="E48" s="88" t="n">
        <v>14715</v>
      </c>
      <c r="F48" s="88" t="n">
        <v>14633</v>
      </c>
    </row>
    <row r="49" customFormat="false" ht="15" hidden="false" customHeight="false" outlineLevel="0" collapsed="false">
      <c r="A49" s="79" t="s">
        <v>187</v>
      </c>
      <c r="B49" s="88"/>
      <c r="C49" s="88" t="n">
        <v>82</v>
      </c>
      <c r="D49" s="88" t="n">
        <v>164</v>
      </c>
      <c r="E49" s="88" t="n">
        <v>133</v>
      </c>
      <c r="F49" s="88" t="n">
        <v>97</v>
      </c>
    </row>
    <row r="50" customFormat="false" ht="15" hidden="false" customHeight="false" outlineLevel="0" collapsed="false">
      <c r="A50" s="79" t="s">
        <v>188</v>
      </c>
      <c r="B50" s="88"/>
      <c r="C50" s="88"/>
      <c r="D50" s="88" t="n">
        <v>15</v>
      </c>
      <c r="E50" s="88"/>
      <c r="F50" s="88" t="n">
        <v>15</v>
      </c>
    </row>
    <row r="51" customFormat="false" ht="15" hidden="false" customHeight="false" outlineLevel="0" collapsed="false">
      <c r="A51" s="79" t="s">
        <v>189</v>
      </c>
      <c r="B51" s="88"/>
      <c r="C51" s="88"/>
      <c r="D51" s="88" t="n">
        <v>15</v>
      </c>
      <c r="E51" s="88"/>
      <c r="F51" s="88" t="n">
        <v>15</v>
      </c>
    </row>
    <row r="52" customFormat="false" ht="15" hidden="false" customHeight="false" outlineLevel="0" collapsed="false">
      <c r="A52" s="79" t="s">
        <v>190</v>
      </c>
      <c r="B52" s="88"/>
      <c r="C52" s="88"/>
      <c r="D52" s="88" t="n">
        <v>15</v>
      </c>
      <c r="E52" s="88"/>
      <c r="F52" s="88" t="n">
        <v>15</v>
      </c>
    </row>
    <row r="53" customFormat="false" ht="15" hidden="false" customHeight="false" outlineLevel="0" collapsed="false">
      <c r="A53" s="79" t="s">
        <v>191</v>
      </c>
      <c r="B53" s="88"/>
      <c r="C53" s="88"/>
      <c r="D53" s="88" t="n">
        <v>15</v>
      </c>
      <c r="E53" s="88"/>
      <c r="F53" s="88" t="n">
        <v>15</v>
      </c>
    </row>
    <row r="54" customFormat="false" ht="15" hidden="false" customHeight="false" outlineLevel="0" collapsed="false">
      <c r="A54" s="79" t="s">
        <v>192</v>
      </c>
      <c r="B54" s="88"/>
      <c r="C54" s="88" t="n">
        <v>12880</v>
      </c>
      <c r="D54" s="88" t="n">
        <v>13972</v>
      </c>
      <c r="E54" s="88" t="n">
        <v>14582</v>
      </c>
      <c r="F54" s="88" t="n">
        <v>14521</v>
      </c>
    </row>
    <row r="55" customFormat="false" ht="15" hidden="false" customHeight="false" outlineLevel="0" collapsed="false">
      <c r="A55" s="79" t="s">
        <v>193</v>
      </c>
      <c r="B55" s="88"/>
      <c r="C55" s="88" t="n">
        <v>7086</v>
      </c>
      <c r="D55" s="88" t="n">
        <v>7609</v>
      </c>
      <c r="E55" s="88" t="n">
        <v>5100</v>
      </c>
      <c r="F55" s="88" t="n">
        <v>5400</v>
      </c>
    </row>
    <row r="56" customFormat="false" ht="15" hidden="false" customHeight="false" outlineLevel="0" collapsed="false">
      <c r="A56" s="79" t="s">
        <v>194</v>
      </c>
      <c r="B56" s="88"/>
      <c r="C56" s="88" t="n">
        <v>356</v>
      </c>
      <c r="D56" s="88" t="n">
        <v>254</v>
      </c>
      <c r="E56" s="88" t="n">
        <v>9482</v>
      </c>
      <c r="F56" s="88" t="n">
        <v>9121</v>
      </c>
    </row>
    <row r="57" customFormat="false" ht="15" hidden="false" customHeight="false" outlineLevel="0" collapsed="false">
      <c r="A57" s="79" t="s">
        <v>195</v>
      </c>
      <c r="B57" s="88" t="n">
        <v>5135</v>
      </c>
      <c r="C57" s="88"/>
      <c r="D57" s="88"/>
      <c r="E57" s="88" t="n">
        <v>9196</v>
      </c>
      <c r="F57" s="88" t="n">
        <v>8842</v>
      </c>
    </row>
    <row r="58" customFormat="false" ht="15" hidden="false" customHeight="false" outlineLevel="0" collapsed="false">
      <c r="A58" s="79" t="s">
        <v>196</v>
      </c>
      <c r="B58" s="88"/>
      <c r="C58" s="88" t="n">
        <v>356</v>
      </c>
      <c r="D58" s="88" t="n">
        <v>254</v>
      </c>
      <c r="E58" s="88" t="n">
        <v>286</v>
      </c>
      <c r="F58" s="88" t="n">
        <v>279</v>
      </c>
    </row>
    <row r="59" customFormat="false" ht="15" hidden="false" customHeight="false" outlineLevel="0" collapsed="false">
      <c r="A59" s="79" t="s">
        <v>197</v>
      </c>
      <c r="B59" s="88"/>
      <c r="C59" s="88" t="n">
        <v>25004</v>
      </c>
      <c r="D59" s="88" t="n">
        <v>27234</v>
      </c>
      <c r="E59" s="88" t="n">
        <v>28737</v>
      </c>
      <c r="F59" s="88" t="n">
        <v>29544</v>
      </c>
    </row>
    <row r="60" customFormat="false" ht="15" hidden="false" customHeight="false" outlineLevel="0" collapsed="false">
      <c r="A60" s="79" t="s">
        <v>198</v>
      </c>
      <c r="B60" s="88"/>
      <c r="C60" s="88" t="n">
        <v>18000</v>
      </c>
      <c r="D60" s="88" t="n">
        <v>18520</v>
      </c>
      <c r="E60" s="88" t="n">
        <v>18324</v>
      </c>
      <c r="F60" s="88" t="n">
        <v>18397</v>
      </c>
    </row>
    <row r="61" customFormat="false" ht="15" hidden="false" customHeight="false" outlineLevel="0" collapsed="false">
      <c r="A61" s="79" t="s">
        <v>199</v>
      </c>
      <c r="B61" s="88"/>
      <c r="C61" s="88" t="n">
        <v>43004</v>
      </c>
      <c r="D61" s="88" t="n">
        <v>45754</v>
      </c>
      <c r="E61" s="88" t="n">
        <v>47061</v>
      </c>
      <c r="F61" s="88" t="n">
        <v>47941</v>
      </c>
    </row>
    <row r="62" customFormat="false" ht="15" hidden="false" customHeight="false" outlineLevel="0" collapsed="false">
      <c r="A62" s="79" t="s">
        <v>200</v>
      </c>
      <c r="B62" s="88"/>
      <c r="C62" s="88" t="n">
        <v>43004</v>
      </c>
      <c r="D62" s="88" t="n">
        <v>45754</v>
      </c>
      <c r="E62" s="88" t="n">
        <v>47061</v>
      </c>
      <c r="F62" s="88" t="n">
        <v>47941</v>
      </c>
    </row>
    <row r="64" customFormat="false" ht="15" hidden="false" customHeight="false" outlineLevel="0" collapsed="false">
      <c r="A64" s="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0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202</v>
      </c>
    </row>
    <row r="3" customFormat="false" ht="15" hidden="false" customHeight="false" outlineLevel="0" collapsed="false">
      <c r="A3" s="75" t="s">
        <v>136</v>
      </c>
      <c r="B3" s="75" t="s">
        <v>137</v>
      </c>
      <c r="C3" s="75" t="s">
        <v>138</v>
      </c>
      <c r="D3" s="75" t="s">
        <v>139</v>
      </c>
      <c r="E3" s="75" t="s">
        <v>140</v>
      </c>
      <c r="F3" s="75" t="s">
        <v>141</v>
      </c>
    </row>
    <row r="4" customFormat="false" ht="15" hidden="false" customHeight="false" outlineLevel="0" collapsed="false">
      <c r="A4" s="79" t="s">
        <v>203</v>
      </c>
      <c r="B4" s="88"/>
      <c r="C4" s="88" t="n">
        <v>2712</v>
      </c>
      <c r="D4" s="88" t="n">
        <v>2732</v>
      </c>
      <c r="E4" s="88" t="n">
        <v>2738</v>
      </c>
      <c r="F4" s="88" t="n">
        <v>2738</v>
      </c>
    </row>
    <row r="5" customFormat="false" ht="15" hidden="false" customHeight="false" outlineLevel="0" collapsed="false">
      <c r="A5" s="79" t="s">
        <v>204</v>
      </c>
      <c r="B5" s="88"/>
      <c r="C5" s="88" t="n">
        <v>4328</v>
      </c>
      <c r="D5" s="88" t="n">
        <v>4308</v>
      </c>
      <c r="E5" s="88" t="n">
        <v>4302</v>
      </c>
      <c r="F5" s="88" t="n">
        <v>4301.608845</v>
      </c>
    </row>
    <row r="6" customFormat="false" ht="15" hidden="false" customHeight="false" outlineLevel="0" collapsed="false">
      <c r="A6" s="79" t="s">
        <v>205</v>
      </c>
      <c r="B6" s="88"/>
      <c r="C6" s="88" t="n">
        <v>7040</v>
      </c>
      <c r="D6" s="88" t="n">
        <v>7040</v>
      </c>
      <c r="E6" s="88" t="n">
        <v>7040</v>
      </c>
      <c r="F6" s="88" t="n">
        <v>7039.608845</v>
      </c>
    </row>
    <row r="7" customFormat="false" ht="15" hidden="false" customHeight="false" outlineLevel="0" collapsed="false">
      <c r="A7" s="79" t="s">
        <v>206</v>
      </c>
      <c r="B7" s="88"/>
      <c r="C7" s="88" t="n">
        <v>29630</v>
      </c>
      <c r="D7" s="88" t="n">
        <v>32698</v>
      </c>
      <c r="E7" s="88" t="n">
        <v>33694</v>
      </c>
      <c r="F7" s="88" t="n">
        <v>35222</v>
      </c>
    </row>
    <row r="8" customFormat="false" ht="15" hidden="false" customHeight="false" outlineLevel="0" collapsed="false">
      <c r="A8" s="79" t="s">
        <v>207</v>
      </c>
      <c r="B8" s="88"/>
      <c r="C8" s="88" t="n">
        <v>39149</v>
      </c>
      <c r="D8" s="88" t="n">
        <v>42064</v>
      </c>
      <c r="E8" s="88" t="n">
        <v>44522</v>
      </c>
      <c r="F8" s="88" t="n">
        <v>45492</v>
      </c>
    </row>
    <row r="9" customFormat="false" ht="15" hidden="false" customHeight="false" outlineLevel="0" collapsed="false">
      <c r="A9" s="79" t="s">
        <v>208</v>
      </c>
      <c r="B9" s="88"/>
      <c r="C9" s="88" t="n">
        <v>-9526</v>
      </c>
      <c r="D9" s="88" t="n">
        <v>-6766</v>
      </c>
      <c r="E9" s="88" t="n">
        <v>-6584</v>
      </c>
      <c r="F9" s="88" t="n">
        <v>4147</v>
      </c>
    </row>
    <row r="10" customFormat="false" ht="15" hidden="false" customHeight="false" outlineLevel="0" collapsed="false">
      <c r="A10" s="79" t="s">
        <v>209</v>
      </c>
      <c r="B10" s="88"/>
      <c r="C10" s="88" t="n">
        <v>63254</v>
      </c>
      <c r="D10" s="88" t="n">
        <v>68005</v>
      </c>
      <c r="E10" s="88" t="n">
        <v>69378</v>
      </c>
      <c r="F10" s="88" t="n">
        <v>77661</v>
      </c>
    </row>
    <row r="11" customFormat="false" ht="15" hidden="false" customHeight="false" outlineLevel="0" collapsed="false">
      <c r="A11" s="79" t="s">
        <v>210</v>
      </c>
      <c r="B11" s="88"/>
      <c r="C11" s="88" t="n">
        <v>2867</v>
      </c>
      <c r="D11" s="88" t="n">
        <v>3161</v>
      </c>
      <c r="E11" s="88" t="n">
        <v>748</v>
      </c>
      <c r="F11" s="88" t="n">
        <v>9763</v>
      </c>
    </row>
    <row r="12" customFormat="false" ht="15" hidden="false" customHeight="false" outlineLevel="0" collapsed="false">
      <c r="A12" s="79" t="s">
        <v>211</v>
      </c>
      <c r="B12" s="88"/>
      <c r="C12" s="88" t="n">
        <v>-9526</v>
      </c>
      <c r="D12" s="88" t="n">
        <v>-6766</v>
      </c>
      <c r="E12" s="88" t="n">
        <v>-6584</v>
      </c>
      <c r="F12" s="88" t="n">
        <v>4147</v>
      </c>
    </row>
    <row r="13" customFormat="false" ht="15" hidden="false" customHeight="false" outlineLevel="0" collapsed="false">
      <c r="A13" s="79" t="s">
        <v>212</v>
      </c>
      <c r="B13" s="88"/>
      <c r="C13" s="88" t="n">
        <v>24105</v>
      </c>
      <c r="D13" s="88" t="n">
        <v>25941</v>
      </c>
      <c r="E13" s="88" t="n">
        <v>24856</v>
      </c>
      <c r="F13" s="88" t="n">
        <v>32169</v>
      </c>
    </row>
    <row r="14" customFormat="false" ht="15" hidden="false" customHeight="false" outlineLevel="0" collapsed="false">
      <c r="A14" s="79" t="s">
        <v>213</v>
      </c>
      <c r="B14" s="88"/>
      <c r="C14" s="88" t="n">
        <v>60482</v>
      </c>
      <c r="D14" s="88" t="n">
        <v>61488</v>
      </c>
      <c r="E14" s="88" t="n">
        <v>67231</v>
      </c>
      <c r="F14" s="88" t="n">
        <v>74288</v>
      </c>
    </row>
    <row r="15" customFormat="false" ht="15" hidden="false" customHeight="false" outlineLevel="0" collapsed="false">
      <c r="A15" s="79" t="s">
        <v>214</v>
      </c>
      <c r="B15" s="88"/>
      <c r="C15" s="88" t="n">
        <v>25826</v>
      </c>
      <c r="D15" s="88" t="n">
        <v>27480</v>
      </c>
      <c r="E15" s="88" t="n">
        <v>26372</v>
      </c>
      <c r="F15" s="88" t="n">
        <v>34275</v>
      </c>
    </row>
    <row r="16" customFormat="false" ht="15" hidden="false" customHeight="false" outlineLevel="0" collapsed="false">
      <c r="A16" s="79" t="s">
        <v>215</v>
      </c>
      <c r="B16" s="88"/>
      <c r="C16" s="88" t="n">
        <v>1721</v>
      </c>
      <c r="D16" s="88" t="n">
        <v>1539</v>
      </c>
      <c r="E16" s="88" t="n">
        <v>1516</v>
      </c>
      <c r="F16" s="88" t="n">
        <v>2106</v>
      </c>
    </row>
    <row r="17" customFormat="false" ht="15" hidden="false" customHeight="false" outlineLevel="0" collapsed="false">
      <c r="A17" s="79" t="s">
        <v>216</v>
      </c>
      <c r="B17" s="88"/>
      <c r="C17" s="88" t="n">
        <v>24105</v>
      </c>
      <c r="D17" s="88" t="n">
        <v>25941</v>
      </c>
      <c r="E17" s="88" t="n">
        <v>24856</v>
      </c>
      <c r="F17" s="88" t="n">
        <v>32169</v>
      </c>
    </row>
    <row r="18" customFormat="false" ht="15" hidden="false" customHeight="false" outlineLevel="0" collapsed="false">
      <c r="A18" s="79" t="s">
        <v>217</v>
      </c>
      <c r="B18" s="88"/>
      <c r="C18" s="88" t="n">
        <v>-14895</v>
      </c>
      <c r="D18" s="88" t="n">
        <v>-14275</v>
      </c>
      <c r="E18" s="88" t="n">
        <v>-16843</v>
      </c>
      <c r="F18" s="88" t="n">
        <v>-14131</v>
      </c>
    </row>
    <row r="19" customFormat="false" ht="15" hidden="false" customHeight="false" outlineLevel="0" collapsed="false">
      <c r="A19" s="79" t="s">
        <v>218</v>
      </c>
      <c r="B19" s="88"/>
      <c r="C19" s="88" t="n">
        <v>24</v>
      </c>
      <c r="D19" s="88" t="n">
        <v>-154</v>
      </c>
      <c r="E19" s="88" t="n">
        <v>116</v>
      </c>
      <c r="F19" s="88" t="n">
        <v>-244</v>
      </c>
    </row>
    <row r="20" customFormat="false" ht="15" hidden="false" customHeight="false" outlineLevel="0" collapsed="false">
      <c r="A20" s="79" t="s">
        <v>219</v>
      </c>
      <c r="B20" s="88"/>
      <c r="C20" s="88" t="n">
        <v>-13609</v>
      </c>
      <c r="D20" s="88" t="n">
        <v>-12726</v>
      </c>
      <c r="E20" s="88" t="n">
        <v>-15610</v>
      </c>
      <c r="F20" s="88" t="n">
        <v>-12673</v>
      </c>
    </row>
    <row r="21" customFormat="false" ht="15" hidden="false" customHeight="false" outlineLevel="0" collapsed="false">
      <c r="A21" s="79" t="s">
        <v>220</v>
      </c>
      <c r="B21" s="88"/>
      <c r="C21" s="88" t="n">
        <v>-1285</v>
      </c>
      <c r="D21" s="88" t="n">
        <v>-1394</v>
      </c>
      <c r="E21" s="88" t="n">
        <v>-1285</v>
      </c>
      <c r="F21" s="88" t="n">
        <v>-1188</v>
      </c>
    </row>
    <row r="22" customFormat="false" ht="15" hidden="false" customHeight="false" outlineLevel="0" collapsed="false">
      <c r="A22" s="79" t="s">
        <v>221</v>
      </c>
      <c r="B22" s="88"/>
      <c r="C22" s="88" t="n">
        <v>-25</v>
      </c>
      <c r="D22" s="88" t="n">
        <v>-1</v>
      </c>
      <c r="E22" s="88" t="n">
        <v>-64</v>
      </c>
      <c r="F22" s="88" t="n">
        <v>-26</v>
      </c>
    </row>
    <row r="23" customFormat="false" ht="15" hidden="false" customHeight="false" outlineLevel="0" collapsed="false">
      <c r="A23" s="79" t="s">
        <v>222</v>
      </c>
      <c r="B23" s="88"/>
      <c r="C23" s="88" t="n">
        <v>52601</v>
      </c>
      <c r="D23" s="88" t="n">
        <v>54535</v>
      </c>
      <c r="E23" s="88" t="n">
        <v>55916</v>
      </c>
      <c r="F23" s="88" t="n">
        <v>56423</v>
      </c>
    </row>
    <row r="24" customFormat="false" ht="15" hidden="false" customHeight="false" outlineLevel="0" collapsed="false">
      <c r="A24" s="79" t="s">
        <v>223</v>
      </c>
      <c r="B24" s="88"/>
      <c r="C24" s="88" t="n">
        <v>71019</v>
      </c>
      <c r="D24" s="88" t="n">
        <v>73782</v>
      </c>
      <c r="E24" s="88" t="n">
        <v>76054</v>
      </c>
      <c r="F24" s="88" t="n">
        <v>80382</v>
      </c>
    </row>
    <row r="25" customFormat="false" ht="15" hidden="false" customHeight="false" outlineLevel="0" collapsed="false">
      <c r="A25" s="79" t="s">
        <v>224</v>
      </c>
      <c r="B25" s="88"/>
      <c r="C25" s="88" t="n">
        <v>18822</v>
      </c>
      <c r="D25" s="88" t="n">
        <v>19209</v>
      </c>
      <c r="E25" s="88" t="n">
        <v>19801</v>
      </c>
      <c r="F25" s="88" t="n">
        <v>20581</v>
      </c>
    </row>
    <row r="26" customFormat="false" ht="15" hidden="false" customHeight="false" outlineLevel="0" collapsed="false">
      <c r="A26" s="79" t="s">
        <v>225</v>
      </c>
      <c r="B26" s="88"/>
      <c r="C26" s="88" t="n">
        <v>1760</v>
      </c>
      <c r="D26" s="88" t="n">
        <v>1760</v>
      </c>
      <c r="E26" s="88" t="n">
        <v>1760</v>
      </c>
      <c r="F26" s="88" t="n">
        <v>1760</v>
      </c>
    </row>
    <row r="27" customFormat="false" ht="15" hidden="false" customHeight="false" outlineLevel="0" collapsed="false">
      <c r="A27" s="79" t="s">
        <v>226</v>
      </c>
      <c r="B27" s="88"/>
      <c r="C27" s="88" t="n">
        <v>1760</v>
      </c>
      <c r="D27" s="88" t="n">
        <v>1760</v>
      </c>
      <c r="E27" s="88" t="n">
        <v>1760</v>
      </c>
      <c r="F27" s="88" t="n">
        <v>1760</v>
      </c>
    </row>
    <row r="28" customFormat="false" ht="15" hidden="false" customHeight="false" outlineLevel="0" collapsed="false">
      <c r="A28" s="79" t="s">
        <v>227</v>
      </c>
      <c r="B28" s="88"/>
      <c r="C28" s="88" t="n">
        <v>66937</v>
      </c>
      <c r="D28" s="88" t="n">
        <v>70223</v>
      </c>
      <c r="E28" s="88" t="n">
        <v>74177</v>
      </c>
      <c r="F28" s="88" t="n">
        <v>70541</v>
      </c>
    </row>
    <row r="29" customFormat="false" ht="15" hidden="false" customHeight="false" outlineLevel="0" collapsed="false">
      <c r="A29" s="79" t="s">
        <v>228</v>
      </c>
      <c r="B29" s="88"/>
      <c r="C29" s="88" t="n">
        <v>47213</v>
      </c>
      <c r="D29" s="88" t="n">
        <v>46652</v>
      </c>
      <c r="E29" s="88" t="n">
        <v>48928</v>
      </c>
      <c r="F29" s="88" t="n">
        <v>49260</v>
      </c>
    </row>
    <row r="30" customFormat="false" ht="15" hidden="false" customHeight="false" outlineLevel="0" collapsed="false">
      <c r="A30" s="79" t="s">
        <v>229</v>
      </c>
      <c r="B30" s="88"/>
      <c r="C30" s="88" t="n">
        <v>7922</v>
      </c>
      <c r="D30" s="88" t="n">
        <v>8466</v>
      </c>
      <c r="E30" s="88" t="n">
        <v>4084</v>
      </c>
      <c r="F30" s="88" t="n">
        <v>4735</v>
      </c>
    </row>
    <row r="31" customFormat="false" ht="15" hidden="false" customHeight="false" outlineLevel="0" collapsed="false">
      <c r="A31" s="79" t="s">
        <v>230</v>
      </c>
      <c r="B31" s="88"/>
      <c r="C31" s="88" t="n">
        <v>2914</v>
      </c>
      <c r="D31" s="88" t="n">
        <v>2639</v>
      </c>
      <c r="E31" s="88" t="n">
        <v>2469</v>
      </c>
      <c r="F31" s="88" t="n">
        <v>2406</v>
      </c>
    </row>
    <row r="32" customFormat="false" ht="15" hidden="false" customHeight="false" outlineLevel="0" collapsed="false">
      <c r="A32" s="79" t="s">
        <v>231</v>
      </c>
      <c r="B32" s="88"/>
      <c r="C32" s="88" t="n">
        <v>2914</v>
      </c>
      <c r="D32" s="88" t="n">
        <v>2639</v>
      </c>
      <c r="E32" s="88" t="n">
        <v>2469</v>
      </c>
      <c r="F32" s="88" t="n">
        <v>2406</v>
      </c>
    </row>
    <row r="33" customFormat="false" ht="15" hidden="false" customHeight="false" outlineLevel="0" collapsed="false">
      <c r="A33" s="79" t="s">
        <v>232</v>
      </c>
      <c r="B33" s="88"/>
      <c r="C33" s="88" t="n">
        <v>36377</v>
      </c>
      <c r="D33" s="88" t="n">
        <v>35547</v>
      </c>
      <c r="E33" s="88" t="n">
        <v>42375</v>
      </c>
      <c r="F33" s="88" t="n">
        <v>42119</v>
      </c>
    </row>
    <row r="34" customFormat="false" ht="15" hidden="false" customHeight="false" outlineLevel="0" collapsed="false">
      <c r="A34" s="79" t="s">
        <v>233</v>
      </c>
      <c r="B34" s="88"/>
      <c r="C34" s="88" t="n">
        <v>36377</v>
      </c>
      <c r="D34" s="88" t="n">
        <v>35547</v>
      </c>
      <c r="E34" s="88" t="n">
        <v>42375</v>
      </c>
      <c r="F34" s="88" t="n">
        <v>42119</v>
      </c>
    </row>
    <row r="35" customFormat="false" ht="15" hidden="false" customHeight="false" outlineLevel="0" collapsed="false">
      <c r="A35" s="79" t="s">
        <v>234</v>
      </c>
      <c r="B35" s="88"/>
      <c r="C35" s="88" t="n">
        <v>19724</v>
      </c>
      <c r="D35" s="88" t="n">
        <v>23571</v>
      </c>
      <c r="E35" s="88" t="n">
        <v>25249</v>
      </c>
      <c r="F35" s="88" t="n">
        <v>21281</v>
      </c>
    </row>
    <row r="36" customFormat="false" ht="15" hidden="false" customHeight="false" outlineLevel="0" collapsed="false">
      <c r="A36" s="79" t="s">
        <v>235</v>
      </c>
      <c r="B36" s="88"/>
      <c r="C36" s="88"/>
      <c r="D36" s="88"/>
      <c r="E36" s="88" t="n">
        <v>3</v>
      </c>
      <c r="F36" s="88" t="n">
        <v>2570</v>
      </c>
    </row>
    <row r="37" customFormat="false" ht="15" hidden="false" customHeight="false" outlineLevel="0" collapsed="false">
      <c r="A37" s="79" t="s">
        <v>236</v>
      </c>
      <c r="B37" s="88"/>
      <c r="C37" s="88" t="n">
        <v>2772</v>
      </c>
      <c r="D37" s="88" t="n">
        <v>6517</v>
      </c>
      <c r="E37" s="88" t="n">
        <v>2147</v>
      </c>
      <c r="F37" s="88" t="n">
        <v>3373</v>
      </c>
    </row>
    <row r="38" customFormat="false" ht="15" hidden="false" customHeight="false" outlineLevel="0" collapsed="false">
      <c r="A38" s="79" t="s">
        <v>237</v>
      </c>
      <c r="B38" s="88"/>
      <c r="C38" s="88" t="n">
        <v>2772</v>
      </c>
      <c r="D38" s="88" t="n">
        <v>6517</v>
      </c>
      <c r="E38" s="88" t="n">
        <v>2147</v>
      </c>
      <c r="F38" s="88" t="n">
        <v>3373</v>
      </c>
    </row>
    <row r="39" customFormat="false" ht="15" hidden="false" customHeight="false" outlineLevel="0" collapsed="false">
      <c r="A39" s="79" t="s">
        <v>238</v>
      </c>
      <c r="B39" s="88"/>
      <c r="C39" s="88" t="n">
        <v>399</v>
      </c>
      <c r="D39" s="88" t="n">
        <v>1960</v>
      </c>
      <c r="E39" s="88" t="n">
        <v>648</v>
      </c>
      <c r="F39" s="88" t="n">
        <v>1822</v>
      </c>
    </row>
    <row r="40" customFormat="false" ht="15" hidden="false" customHeight="false" outlineLevel="0" collapsed="false">
      <c r="A40" s="79" t="s">
        <v>239</v>
      </c>
      <c r="B40" s="88"/>
      <c r="C40" s="88" t="n">
        <v>227</v>
      </c>
      <c r="D40" s="88" t="n">
        <v>348</v>
      </c>
      <c r="E40" s="88" t="n">
        <v>360</v>
      </c>
      <c r="F40" s="88" t="n">
        <v>56</v>
      </c>
    </row>
    <row r="41" customFormat="false" ht="15" hidden="false" customHeight="false" outlineLevel="0" collapsed="false">
      <c r="A41" s="79" t="s">
        <v>240</v>
      </c>
      <c r="B41" s="88"/>
      <c r="C41" s="88" t="n">
        <v>2146</v>
      </c>
      <c r="D41" s="88" t="n">
        <v>4209</v>
      </c>
      <c r="E41" s="88" t="n">
        <v>1139</v>
      </c>
      <c r="F41" s="88" t="n">
        <v>1495</v>
      </c>
    </row>
    <row r="42" customFormat="false" ht="15" hidden="false" customHeight="false" outlineLevel="0" collapsed="false">
      <c r="A42" s="79" t="s">
        <v>241</v>
      </c>
      <c r="B42" s="88"/>
      <c r="C42" s="88" t="n">
        <v>1087</v>
      </c>
      <c r="D42" s="88" t="n">
        <v>1394</v>
      </c>
      <c r="E42" s="88" t="n">
        <v>1391</v>
      </c>
      <c r="F42" s="88" t="n">
        <v>1506</v>
      </c>
    </row>
    <row r="43" customFormat="false" ht="15" hidden="false" customHeight="false" outlineLevel="0" collapsed="false">
      <c r="A43" s="79" t="s">
        <v>242</v>
      </c>
      <c r="B43" s="88"/>
      <c r="C43" s="88" t="n">
        <v>15865</v>
      </c>
      <c r="D43" s="88" t="n">
        <v>15660</v>
      </c>
      <c r="E43" s="88" t="n">
        <v>21708</v>
      </c>
      <c r="F43" s="88" t="n">
        <v>13832</v>
      </c>
    </row>
    <row r="44" customFormat="false" ht="15" hidden="false" customHeight="false" outlineLevel="0" collapsed="false">
      <c r="A44" s="79" t="s">
        <v>243</v>
      </c>
      <c r="B44" s="88"/>
      <c r="C44" s="88" t="n">
        <v>9355</v>
      </c>
      <c r="D44" s="88" t="n">
        <v>8501</v>
      </c>
      <c r="E44" s="88" t="n">
        <v>14853</v>
      </c>
      <c r="F44" s="88" t="n">
        <v>7658</v>
      </c>
    </row>
    <row r="45" customFormat="false" ht="15" hidden="false" customHeight="false" outlineLevel="0" collapsed="false">
      <c r="A45" s="79" t="s">
        <v>244</v>
      </c>
      <c r="B45" s="88"/>
      <c r="C45" s="88" t="n">
        <v>6510</v>
      </c>
      <c r="D45" s="88" t="n">
        <v>7159</v>
      </c>
      <c r="E45" s="88" t="n">
        <v>6855</v>
      </c>
      <c r="F45" s="88" t="n">
        <v>6174</v>
      </c>
    </row>
    <row r="46" customFormat="false" ht="15" hidden="false" customHeight="false" outlineLevel="0" collapsed="false">
      <c r="A46" s="79" t="s">
        <v>245</v>
      </c>
      <c r="B46" s="88" t="n">
        <v>1118</v>
      </c>
      <c r="C46" s="88" t="n">
        <v>934</v>
      </c>
      <c r="D46" s="88"/>
      <c r="E46" s="88"/>
      <c r="F46" s="88"/>
    </row>
    <row r="47" customFormat="false" ht="15" hidden="false" customHeight="false" outlineLevel="0" collapsed="false">
      <c r="A47" s="79" t="s">
        <v>246</v>
      </c>
      <c r="B47" s="88"/>
      <c r="C47" s="88" t="n">
        <v>1203</v>
      </c>
      <c r="D47" s="88" t="n">
        <v>1569</v>
      </c>
      <c r="E47" s="88" t="n">
        <v>1387</v>
      </c>
      <c r="F47" s="88" t="n">
        <v>525</v>
      </c>
    </row>
    <row r="48" customFormat="false" ht="15" hidden="false" customHeight="false" outlineLevel="0" collapsed="false">
      <c r="A48" s="79" t="s">
        <v>247</v>
      </c>
      <c r="B48" s="88"/>
      <c r="C48" s="88" t="n">
        <v>1203</v>
      </c>
      <c r="D48" s="88" t="n">
        <v>1569</v>
      </c>
      <c r="E48" s="88" t="n">
        <v>1387</v>
      </c>
      <c r="F48" s="88" t="n">
        <v>525</v>
      </c>
    </row>
    <row r="49" customFormat="false" ht="15" hidden="false" customHeight="false" outlineLevel="0" collapsed="false">
      <c r="A49" s="79" t="s">
        <v>248</v>
      </c>
      <c r="B49" s="88"/>
      <c r="C49" s="88" t="n">
        <v>5307</v>
      </c>
      <c r="D49" s="88" t="n">
        <v>5590</v>
      </c>
      <c r="E49" s="88" t="n">
        <v>5468</v>
      </c>
      <c r="F49" s="88" t="n">
        <v>5649</v>
      </c>
    </row>
    <row r="50" customFormat="false" ht="15" hidden="false" customHeight="false" outlineLevel="0" collapsed="false">
      <c r="A50" s="79" t="s">
        <v>249</v>
      </c>
      <c r="B50" s="88"/>
      <c r="C50" s="88" t="n">
        <v>92763</v>
      </c>
      <c r="D50" s="88" t="n">
        <v>97703</v>
      </c>
      <c r="E50" s="88" t="n">
        <v>100549</v>
      </c>
      <c r="F50" s="88" t="n">
        <v>104816</v>
      </c>
    </row>
    <row r="51" customFormat="false" ht="15" hidden="false" customHeight="false" outlineLevel="0" collapsed="false">
      <c r="A51" s="79" t="s">
        <v>250</v>
      </c>
      <c r="B51" s="88"/>
      <c r="C51" s="88" t="n">
        <v>70172</v>
      </c>
      <c r="D51" s="88" t="n">
        <v>70971</v>
      </c>
      <c r="E51" s="88" t="n">
        <v>74552</v>
      </c>
      <c r="F51" s="88" t="n">
        <v>73772</v>
      </c>
    </row>
    <row r="52" customFormat="false" ht="15" hidden="false" customHeight="false" outlineLevel="0" collapsed="false">
      <c r="A52" s="79" t="s">
        <v>251</v>
      </c>
      <c r="B52" s="88"/>
      <c r="C52" s="88" t="n">
        <v>6189</v>
      </c>
      <c r="D52" s="88" t="n">
        <v>7796</v>
      </c>
      <c r="E52" s="88" t="n">
        <v>13403</v>
      </c>
      <c r="F52" s="88" t="n">
        <v>14696</v>
      </c>
    </row>
    <row r="53" customFormat="false" ht="15" hidden="false" customHeight="false" outlineLevel="0" collapsed="false">
      <c r="A53" s="79" t="s">
        <v>252</v>
      </c>
      <c r="B53" s="88"/>
      <c r="C53" s="88" t="n">
        <v>1746</v>
      </c>
      <c r="D53" s="88" t="n">
        <v>1561</v>
      </c>
      <c r="E53" s="88" t="n">
        <v>1319</v>
      </c>
      <c r="F53" s="88" t="n">
        <v>1206</v>
      </c>
    </row>
    <row r="54" customFormat="false" ht="15" hidden="false" customHeight="false" outlineLevel="0" collapsed="false">
      <c r="A54" s="79" t="s">
        <v>253</v>
      </c>
      <c r="B54" s="88"/>
      <c r="C54" s="88" t="n">
        <v>1746</v>
      </c>
      <c r="D54" s="88" t="n">
        <v>1561</v>
      </c>
      <c r="E54" s="88" t="n">
        <v>1319</v>
      </c>
      <c r="F54" s="88" t="n">
        <v>1206</v>
      </c>
    </row>
    <row r="55" customFormat="false" ht="15" hidden="false" customHeight="false" outlineLevel="0" collapsed="false">
      <c r="A55" s="79" t="s">
        <v>254</v>
      </c>
      <c r="B55" s="88"/>
      <c r="C55" s="88" t="n">
        <v>18765</v>
      </c>
      <c r="D55" s="88" t="n">
        <v>19671</v>
      </c>
      <c r="E55" s="88" t="n">
        <v>18087</v>
      </c>
      <c r="F55" s="88" t="n">
        <v>20235</v>
      </c>
    </row>
    <row r="56" customFormat="false" ht="15" hidden="false" customHeight="false" outlineLevel="0" collapsed="false">
      <c r="A56" s="79" t="s">
        <v>255</v>
      </c>
      <c r="B56" s="88" t="n">
        <v>818</v>
      </c>
      <c r="C56" s="88" t="n">
        <v>501</v>
      </c>
      <c r="D56" s="88" t="n">
        <v>118</v>
      </c>
      <c r="E56" s="88"/>
      <c r="F56" s="88"/>
    </row>
    <row r="57" customFormat="false" ht="15" hidden="false" customHeight="false" outlineLevel="0" collapsed="false">
      <c r="A57" s="79" t="s">
        <v>256</v>
      </c>
      <c r="B57" s="88"/>
      <c r="C57" s="88" t="n">
        <v>18264</v>
      </c>
      <c r="D57" s="88" t="n">
        <v>19671</v>
      </c>
      <c r="E57" s="88" t="n">
        <v>18087</v>
      </c>
      <c r="F57" s="88" t="n">
        <v>20235</v>
      </c>
    </row>
    <row r="58" customFormat="false" ht="15" hidden="false" customHeight="false" outlineLevel="0" collapsed="false">
      <c r="A58" s="79" t="s">
        <v>257</v>
      </c>
      <c r="B58" s="88"/>
      <c r="C58" s="88" t="n">
        <v>33631</v>
      </c>
      <c r="D58" s="88" t="n">
        <v>32707</v>
      </c>
      <c r="E58" s="88" t="n">
        <v>31440</v>
      </c>
      <c r="F58" s="88" t="n">
        <v>28022</v>
      </c>
    </row>
    <row r="59" customFormat="false" ht="15" hidden="false" customHeight="false" outlineLevel="0" collapsed="false">
      <c r="A59" s="79" t="s">
        <v>258</v>
      </c>
      <c r="B59" s="88"/>
      <c r="C59" s="88" t="n">
        <v>14849</v>
      </c>
      <c r="D59" s="88" t="n">
        <v>14349</v>
      </c>
      <c r="E59" s="88" t="n">
        <v>13301</v>
      </c>
      <c r="F59" s="88" t="n">
        <v>12531</v>
      </c>
    </row>
    <row r="60" customFormat="false" ht="15" hidden="false" customHeight="false" outlineLevel="0" collapsed="false">
      <c r="A60" s="79" t="s">
        <v>259</v>
      </c>
      <c r="B60" s="88"/>
      <c r="C60" s="88" t="n">
        <v>18782</v>
      </c>
      <c r="D60" s="88" t="n">
        <v>18358</v>
      </c>
      <c r="E60" s="88" t="n">
        <v>18139</v>
      </c>
      <c r="F60" s="88" t="n">
        <v>15491</v>
      </c>
    </row>
    <row r="61" customFormat="false" ht="15" hidden="false" customHeight="false" outlineLevel="0" collapsed="false">
      <c r="A61" s="79" t="s">
        <v>260</v>
      </c>
      <c r="B61" s="88"/>
      <c r="C61" s="88" t="n">
        <v>9841</v>
      </c>
      <c r="D61" s="88" t="n">
        <v>9236</v>
      </c>
      <c r="E61" s="88" t="n">
        <v>10303</v>
      </c>
      <c r="F61" s="88" t="n">
        <v>9613</v>
      </c>
    </row>
    <row r="62" customFormat="false" ht="15" hidden="false" customHeight="false" outlineLevel="0" collapsed="false">
      <c r="A62" s="79" t="s">
        <v>261</v>
      </c>
      <c r="B62" s="88"/>
      <c r="C62" s="88" t="n">
        <v>-9234</v>
      </c>
      <c r="D62" s="88" t="n">
        <v>-9233</v>
      </c>
      <c r="E62" s="88" t="n">
        <v>-9570</v>
      </c>
      <c r="F62" s="88" t="n">
        <v>-9119</v>
      </c>
    </row>
    <row r="63" customFormat="false" ht="15" hidden="false" customHeight="false" outlineLevel="0" collapsed="false">
      <c r="A63" s="79" t="s">
        <v>262</v>
      </c>
      <c r="B63" s="88"/>
      <c r="C63" s="88" t="n">
        <v>19075</v>
      </c>
      <c r="D63" s="88" t="n">
        <v>18469</v>
      </c>
      <c r="E63" s="88" t="n">
        <v>19873</v>
      </c>
      <c r="F63" s="88" t="n">
        <v>18732</v>
      </c>
    </row>
    <row r="64" customFormat="false" ht="15" hidden="false" customHeight="false" outlineLevel="0" collapsed="false">
      <c r="A64" s="79" t="s">
        <v>263</v>
      </c>
      <c r="B64" s="88"/>
      <c r="C64" s="88" t="n">
        <v>14030</v>
      </c>
      <c r="D64" s="88" t="n">
        <v>13593</v>
      </c>
      <c r="E64" s="88" t="n">
        <v>14504</v>
      </c>
      <c r="F64" s="88" t="n">
        <v>13500</v>
      </c>
    </row>
    <row r="65" customFormat="false" ht="15" hidden="false" customHeight="false" outlineLevel="0" collapsed="false">
      <c r="A65" s="79" t="s">
        <v>264</v>
      </c>
      <c r="B65" s="88"/>
      <c r="C65" s="88" t="n">
        <v>4434</v>
      </c>
      <c r="D65" s="88" t="n">
        <v>4647</v>
      </c>
      <c r="E65" s="88" t="n">
        <v>5143</v>
      </c>
      <c r="F65" s="88" t="n">
        <v>4967</v>
      </c>
    </row>
    <row r="66" customFormat="false" ht="15" hidden="false" customHeight="false" outlineLevel="0" collapsed="false">
      <c r="A66" s="79" t="s">
        <v>265</v>
      </c>
      <c r="B66" s="88"/>
      <c r="C66" s="88" t="n">
        <v>611</v>
      </c>
      <c r="D66" s="88" t="n">
        <v>229</v>
      </c>
      <c r="E66" s="88" t="n">
        <v>226</v>
      </c>
      <c r="F66" s="88" t="n">
        <v>265</v>
      </c>
    </row>
    <row r="67" customFormat="false" ht="15" hidden="false" customHeight="false" outlineLevel="0" collapsed="false">
      <c r="A67" s="79" t="s">
        <v>266</v>
      </c>
      <c r="B67" s="88"/>
      <c r="C67" s="88" t="n">
        <v>0</v>
      </c>
      <c r="D67" s="88" t="n">
        <v>0</v>
      </c>
      <c r="E67" s="88" t="n">
        <v>0</v>
      </c>
      <c r="F67" s="88" t="n">
        <v>0</v>
      </c>
    </row>
    <row r="68" customFormat="false" ht="15" hidden="false" customHeight="false" outlineLevel="0" collapsed="false">
      <c r="A68" s="79" t="s">
        <v>267</v>
      </c>
      <c r="B68" s="88"/>
      <c r="C68" s="88" t="n">
        <v>22591</v>
      </c>
      <c r="D68" s="88" t="n">
        <v>26732</v>
      </c>
      <c r="E68" s="88" t="n">
        <v>25997</v>
      </c>
      <c r="F68" s="88" t="n">
        <v>31044</v>
      </c>
    </row>
    <row r="69" customFormat="false" ht="15" hidden="false" customHeight="false" outlineLevel="0" collapsed="false">
      <c r="A69" s="79" t="s">
        <v>268</v>
      </c>
      <c r="B69" s="88"/>
      <c r="C69" s="88" t="n">
        <v>3240</v>
      </c>
      <c r="D69" s="88" t="n">
        <v>5235</v>
      </c>
      <c r="E69" s="88" t="n">
        <v>2998</v>
      </c>
      <c r="F69" s="88" t="n">
        <v>2433</v>
      </c>
    </row>
    <row r="70" customFormat="false" ht="15" hidden="false" customHeight="false" outlineLevel="0" collapsed="false">
      <c r="A70" s="79" t="s">
        <v>269</v>
      </c>
      <c r="B70" s="88"/>
      <c r="C70" s="88"/>
      <c r="D70" s="88"/>
      <c r="E70" s="88" t="n">
        <v>131</v>
      </c>
      <c r="F70" s="88" t="n">
        <v>5342</v>
      </c>
    </row>
    <row r="71" customFormat="false" ht="15" hidden="false" customHeight="false" outlineLevel="0" collapsed="false">
      <c r="A71" s="79" t="s">
        <v>270</v>
      </c>
      <c r="B71" s="88" t="n">
        <v>2994</v>
      </c>
      <c r="C71" s="88" t="n">
        <v>3240</v>
      </c>
      <c r="D71" s="88"/>
      <c r="E71" s="88"/>
      <c r="F71" s="88"/>
    </row>
    <row r="72" customFormat="false" ht="15" hidden="false" customHeight="false" outlineLevel="0" collapsed="false">
      <c r="A72" s="79" t="s">
        <v>271</v>
      </c>
      <c r="B72" s="88"/>
      <c r="C72" s="88" t="n">
        <v>4233</v>
      </c>
      <c r="D72" s="88" t="n">
        <v>4424</v>
      </c>
      <c r="E72" s="88" t="n">
        <v>4728</v>
      </c>
      <c r="F72" s="88" t="n">
        <v>4425</v>
      </c>
    </row>
    <row r="73" customFormat="false" ht="15" hidden="false" customHeight="false" outlineLevel="0" collapsed="false">
      <c r="A73" s="79" t="s">
        <v>272</v>
      </c>
      <c r="B73" s="88"/>
      <c r="C73" s="88" t="n">
        <v>359</v>
      </c>
      <c r="D73" s="88" t="n">
        <v>357</v>
      </c>
      <c r="E73" s="88" t="n">
        <v>410</v>
      </c>
      <c r="F73" s="88" t="n">
        <v>342</v>
      </c>
    </row>
    <row r="74" customFormat="false" ht="15" hidden="false" customHeight="false" outlineLevel="0" collapsed="false">
      <c r="A74" s="79" t="s">
        <v>273</v>
      </c>
      <c r="B74" s="88"/>
      <c r="C74" s="88" t="n">
        <v>1247</v>
      </c>
      <c r="D74" s="88" t="n">
        <v>1449</v>
      </c>
      <c r="E74" s="88" t="n">
        <v>1524</v>
      </c>
      <c r="F74" s="88" t="n">
        <v>1375</v>
      </c>
    </row>
    <row r="75" customFormat="false" ht="15" hidden="false" customHeight="false" outlineLevel="0" collapsed="false">
      <c r="A75" s="79" t="s">
        <v>274</v>
      </c>
      <c r="B75" s="88"/>
      <c r="C75" s="88" t="n">
        <v>2627</v>
      </c>
      <c r="D75" s="88" t="n">
        <v>2618</v>
      </c>
      <c r="E75" s="88" t="n">
        <v>2794</v>
      </c>
      <c r="F75" s="88" t="n">
        <v>2708</v>
      </c>
    </row>
    <row r="76" customFormat="false" ht="15" hidden="false" customHeight="false" outlineLevel="0" collapsed="false">
      <c r="A76" s="79" t="s">
        <v>275</v>
      </c>
      <c r="B76" s="88"/>
      <c r="C76" s="88" t="n">
        <v>3487</v>
      </c>
      <c r="D76" s="88" t="n">
        <v>3410</v>
      </c>
      <c r="E76" s="88" t="n">
        <v>3569</v>
      </c>
      <c r="F76" s="88" t="n">
        <v>3038</v>
      </c>
    </row>
    <row r="77" customFormat="false" ht="15" hidden="false" customHeight="false" outlineLevel="0" collapsed="false">
      <c r="A77" s="79" t="s">
        <v>276</v>
      </c>
      <c r="B77" s="88"/>
      <c r="C77" s="88" t="n">
        <v>3487</v>
      </c>
      <c r="D77" s="88" t="n">
        <v>3410</v>
      </c>
      <c r="E77" s="88" t="n">
        <v>3569</v>
      </c>
      <c r="F77" s="88" t="n">
        <v>3038</v>
      </c>
    </row>
    <row r="78" customFormat="false" ht="15" hidden="false" customHeight="false" outlineLevel="0" collapsed="false">
      <c r="A78" s="79" t="s">
        <v>277</v>
      </c>
      <c r="B78" s="88"/>
      <c r="C78" s="88" t="n">
        <v>-516</v>
      </c>
      <c r="D78" s="88" t="n">
        <v>-502</v>
      </c>
      <c r="E78" s="88" t="n">
        <v>-506</v>
      </c>
      <c r="F78" s="88" t="n">
        <v>-495</v>
      </c>
    </row>
    <row r="79" customFormat="false" ht="15" hidden="false" customHeight="false" outlineLevel="0" collapsed="false">
      <c r="A79" s="79" t="s">
        <v>278</v>
      </c>
      <c r="B79" s="88"/>
      <c r="C79" s="88" t="n">
        <v>4003</v>
      </c>
      <c r="D79" s="88" t="n">
        <v>3912</v>
      </c>
      <c r="E79" s="88" t="n">
        <v>4075</v>
      </c>
      <c r="F79" s="88" t="n">
        <v>3533</v>
      </c>
    </row>
    <row r="80" customFormat="false" ht="15" hidden="false" customHeight="false" outlineLevel="0" collapsed="false">
      <c r="A80" s="79" t="s">
        <v>279</v>
      </c>
      <c r="B80" s="88"/>
      <c r="C80" s="88" t="n">
        <v>11631</v>
      </c>
      <c r="D80" s="88" t="n">
        <v>13663</v>
      </c>
      <c r="E80" s="88" t="n">
        <v>14571</v>
      </c>
      <c r="F80" s="88" t="n">
        <v>15806</v>
      </c>
    </row>
    <row r="81" customFormat="false" ht="15" hidden="false" customHeight="false" outlineLevel="0" collapsed="false">
      <c r="A81" s="79" t="s">
        <v>280</v>
      </c>
      <c r="B81" s="88"/>
      <c r="C81" s="88" t="n">
        <v>2112</v>
      </c>
      <c r="D81" s="88" t="n">
        <v>4297</v>
      </c>
      <c r="E81" s="88" t="n">
        <v>3743</v>
      </c>
      <c r="F81" s="88" t="n">
        <v>5536</v>
      </c>
    </row>
    <row r="82" customFormat="false" ht="15" hidden="false" customHeight="false" outlineLevel="0" collapsed="false">
      <c r="A82" s="79" t="s">
        <v>281</v>
      </c>
      <c r="B82" s="88"/>
      <c r="C82" s="88" t="n">
        <v>9519</v>
      </c>
      <c r="D82" s="88" t="n">
        <v>9366</v>
      </c>
      <c r="E82" s="88" t="n">
        <v>10828</v>
      </c>
      <c r="F82" s="88" t="n">
        <v>10270</v>
      </c>
    </row>
    <row r="84" customFormat="false" ht="15" hidden="false" customHeight="false" outlineLevel="0" collapsed="false">
      <c r="A84" s="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" t="s">
        <v>282</v>
      </c>
    </row>
    <row r="3" customFormat="false" ht="15" hidden="false" customHeight="false" outlineLevel="0" collapsed="false">
      <c r="A3" s="75" t="s">
        <v>136</v>
      </c>
      <c r="B3" s="75" t="s">
        <v>138</v>
      </c>
      <c r="C3" s="75" t="s">
        <v>139</v>
      </c>
      <c r="D3" s="75" t="s">
        <v>140</v>
      </c>
      <c r="E3" s="75" t="s">
        <v>141</v>
      </c>
    </row>
    <row r="4" customFormat="false" ht="15" hidden="false" customHeight="false" outlineLevel="0" collapsed="false">
      <c r="A4" s="79" t="s">
        <v>283</v>
      </c>
      <c r="B4" s="88" t="n">
        <v>9534</v>
      </c>
      <c r="C4" s="88" t="n">
        <v>9747</v>
      </c>
      <c r="D4" s="88" t="n">
        <v>4741</v>
      </c>
      <c r="E4" s="88" t="n">
        <v>5296</v>
      </c>
    </row>
    <row r="5" customFormat="false" ht="15" hidden="false" customHeight="false" outlineLevel="0" collapsed="false">
      <c r="A5" s="79" t="s">
        <v>284</v>
      </c>
      <c r="B5" s="88" t="n">
        <v>-1418</v>
      </c>
      <c r="C5" s="88" t="n">
        <v>-2289</v>
      </c>
      <c r="D5" s="88" t="n">
        <v>-1795</v>
      </c>
      <c r="E5" s="88" t="n">
        <v>-746</v>
      </c>
    </row>
    <row r="6" customFormat="false" ht="15" hidden="false" customHeight="false" outlineLevel="0" collapsed="false">
      <c r="A6" s="79" t="s">
        <v>285</v>
      </c>
      <c r="B6" s="88" t="n">
        <v>-4930</v>
      </c>
      <c r="C6" s="88" t="n">
        <v>-5034</v>
      </c>
      <c r="D6" s="88" t="n">
        <v>-9533</v>
      </c>
      <c r="E6" s="88" t="n">
        <v>-4967</v>
      </c>
    </row>
    <row r="7" customFormat="false" ht="15" hidden="false" customHeight="false" outlineLevel="0" collapsed="false">
      <c r="A7" s="79" t="s">
        <v>286</v>
      </c>
      <c r="B7" s="88" t="n">
        <v>3972</v>
      </c>
      <c r="C7" s="88" t="n">
        <v>6891</v>
      </c>
      <c r="D7" s="88" t="n">
        <v>12061</v>
      </c>
      <c r="E7" s="88" t="n">
        <v>4980</v>
      </c>
    </row>
    <row r="8" customFormat="false" ht="15" hidden="false" customHeight="false" outlineLevel="0" collapsed="false">
      <c r="A8" s="79" t="s">
        <v>287</v>
      </c>
      <c r="B8" s="88" t="n">
        <v>837</v>
      </c>
      <c r="C8" s="88" t="n">
        <v>539</v>
      </c>
      <c r="D8" s="88" t="n">
        <v>747</v>
      </c>
      <c r="E8" s="88" t="n">
        <v>313</v>
      </c>
    </row>
    <row r="9" customFormat="false" ht="15" hidden="false" customHeight="false" outlineLevel="0" collapsed="false">
      <c r="A9" s="79" t="s">
        <v>288</v>
      </c>
      <c r="B9" s="88" t="n">
        <v>-1484</v>
      </c>
      <c r="C9" s="88" t="n">
        <v>-1852</v>
      </c>
      <c r="D9" s="88" t="n">
        <v>-2064</v>
      </c>
      <c r="E9" s="88" t="n">
        <v>-2112</v>
      </c>
    </row>
    <row r="10" customFormat="false" ht="15" hidden="false" customHeight="false" outlineLevel="0" collapsed="false">
      <c r="A10" s="79" t="s">
        <v>289</v>
      </c>
      <c r="B10" s="88" t="n">
        <v>9825</v>
      </c>
      <c r="C10" s="88" t="n">
        <v>9692</v>
      </c>
      <c r="D10" s="88" t="n">
        <v>11488</v>
      </c>
      <c r="E10" s="88" t="n">
        <v>11010</v>
      </c>
    </row>
    <row r="11" customFormat="false" ht="15" hidden="false" customHeight="false" outlineLevel="0" collapsed="false">
      <c r="A11" s="79" t="s">
        <v>290</v>
      </c>
      <c r="B11" s="88" t="n">
        <v>10025</v>
      </c>
      <c r="C11" s="88" t="n">
        <v>9825</v>
      </c>
      <c r="D11" s="88" t="n">
        <v>9692</v>
      </c>
      <c r="E11" s="88" t="n">
        <v>11488</v>
      </c>
    </row>
    <row r="12" customFormat="false" ht="15" hidden="false" customHeight="false" outlineLevel="0" collapsed="false">
      <c r="A12" s="79" t="s">
        <v>291</v>
      </c>
      <c r="B12" s="88" t="n">
        <v>-205</v>
      </c>
      <c r="C12" s="88" t="n">
        <v>-73</v>
      </c>
      <c r="D12" s="88" t="n">
        <v>-623</v>
      </c>
      <c r="E12" s="88" t="n">
        <v>321</v>
      </c>
    </row>
    <row r="13" customFormat="false" ht="15" hidden="false" customHeight="false" outlineLevel="0" collapsed="false">
      <c r="A13" s="79" t="s">
        <v>292</v>
      </c>
      <c r="B13" s="88" t="n">
        <v>5</v>
      </c>
      <c r="C13" s="88" t="n">
        <v>-60</v>
      </c>
      <c r="D13" s="88" t="n">
        <v>2419</v>
      </c>
      <c r="E13" s="88" t="n">
        <v>-799</v>
      </c>
    </row>
    <row r="14" customFormat="false" ht="15" hidden="false" customHeight="false" outlineLevel="0" collapsed="false">
      <c r="A14" s="79" t="s">
        <v>293</v>
      </c>
      <c r="B14" s="88" t="n">
        <v>-10250</v>
      </c>
      <c r="C14" s="88" t="n">
        <v>-8310</v>
      </c>
      <c r="D14" s="88" t="n">
        <v>-6910</v>
      </c>
      <c r="E14" s="88" t="n">
        <v>-8140</v>
      </c>
    </row>
    <row r="15" customFormat="false" ht="15" hidden="false" customHeight="false" outlineLevel="0" collapsed="false">
      <c r="A15" s="79" t="s">
        <v>294</v>
      </c>
      <c r="B15" s="88" t="n">
        <v>-10250</v>
      </c>
      <c r="C15" s="88" t="n">
        <v>-8310</v>
      </c>
      <c r="D15" s="88" t="n">
        <v>-6910</v>
      </c>
      <c r="E15" s="88" t="n">
        <v>-8140</v>
      </c>
    </row>
    <row r="16" customFormat="false" ht="15" hidden="false" customHeight="false" outlineLevel="0" collapsed="false">
      <c r="A16" s="79" t="s">
        <v>295</v>
      </c>
      <c r="B16" s="88" t="n">
        <v>-1095</v>
      </c>
      <c r="C16" s="88" t="n">
        <v>-465</v>
      </c>
      <c r="D16" s="88" t="n">
        <v>-31</v>
      </c>
      <c r="E16" s="88" t="n">
        <v>1059</v>
      </c>
    </row>
    <row r="17" customFormat="false" ht="15" hidden="false" customHeight="false" outlineLevel="0" collapsed="false">
      <c r="A17" s="79" t="s">
        <v>296</v>
      </c>
      <c r="B17" s="88" t="n">
        <v>-7616</v>
      </c>
      <c r="C17" s="88" t="n">
        <v>-7952</v>
      </c>
      <c r="D17" s="88" t="n">
        <v>-8359</v>
      </c>
      <c r="E17" s="88" t="n">
        <v>-8779</v>
      </c>
    </row>
    <row r="18" customFormat="false" ht="15" hidden="false" customHeight="false" outlineLevel="0" collapsed="false">
      <c r="A18" s="79" t="s">
        <v>297</v>
      </c>
      <c r="B18" s="88" t="n">
        <v>-7616</v>
      </c>
      <c r="C18" s="88" t="n">
        <v>-7952</v>
      </c>
      <c r="D18" s="88" t="n">
        <v>-8359</v>
      </c>
      <c r="E18" s="88" t="n">
        <v>-8779</v>
      </c>
    </row>
    <row r="19" customFormat="false" ht="15" hidden="false" customHeight="false" outlineLevel="0" collapsed="false">
      <c r="A19" s="79" t="s">
        <v>298</v>
      </c>
      <c r="B19" s="88" t="n">
        <v>-581</v>
      </c>
      <c r="C19" s="88" t="n">
        <v>-1750</v>
      </c>
      <c r="D19" s="88" t="n">
        <v>-1048</v>
      </c>
      <c r="E19" s="88" t="n">
        <v>-433</v>
      </c>
    </row>
    <row r="20" customFormat="false" ht="15" hidden="false" customHeight="false" outlineLevel="0" collapsed="false">
      <c r="A20" s="79" t="s">
        <v>299</v>
      </c>
      <c r="B20" s="88" t="n">
        <v>-1418</v>
      </c>
      <c r="C20" s="88" t="n">
        <v>-2289</v>
      </c>
      <c r="D20" s="88" t="n">
        <v>-1795</v>
      </c>
      <c r="E20" s="88" t="n">
        <v>-746</v>
      </c>
    </row>
    <row r="21" customFormat="false" ht="15" hidden="false" customHeight="false" outlineLevel="0" collapsed="false">
      <c r="A21" s="79" t="s">
        <v>300</v>
      </c>
      <c r="B21" s="88" t="n">
        <v>837</v>
      </c>
      <c r="C21" s="88" t="n">
        <v>539</v>
      </c>
      <c r="D21" s="88" t="n">
        <v>747</v>
      </c>
      <c r="E21" s="88" t="n">
        <v>313</v>
      </c>
    </row>
    <row r="22" customFormat="false" ht="15" hidden="false" customHeight="false" outlineLevel="0" collapsed="false">
      <c r="A22" s="79" t="s">
        <v>301</v>
      </c>
      <c r="B22" s="88" t="n">
        <v>-958</v>
      </c>
      <c r="C22" s="88" t="n">
        <v>1857</v>
      </c>
      <c r="D22" s="88" t="n">
        <v>2528</v>
      </c>
      <c r="E22" s="88" t="n">
        <v>13</v>
      </c>
    </row>
    <row r="23" customFormat="false" ht="15" hidden="false" customHeight="false" outlineLevel="0" collapsed="false">
      <c r="A23" s="79" t="s">
        <v>302</v>
      </c>
      <c r="B23" s="88" t="n">
        <v>-958</v>
      </c>
      <c r="C23" s="88" t="n">
        <v>1857</v>
      </c>
      <c r="D23" s="88" t="n">
        <v>2528</v>
      </c>
      <c r="E23" s="88" t="n">
        <v>13</v>
      </c>
    </row>
    <row r="24" customFormat="false" ht="15" hidden="false" customHeight="false" outlineLevel="0" collapsed="false">
      <c r="A24" s="79" t="s">
        <v>303</v>
      </c>
      <c r="B24" s="88" t="n">
        <v>-4930</v>
      </c>
      <c r="C24" s="88" t="n">
        <v>-5034</v>
      </c>
      <c r="D24" s="88" t="n">
        <v>-9533</v>
      </c>
      <c r="E24" s="88" t="n">
        <v>-4967</v>
      </c>
    </row>
    <row r="25" customFormat="false" ht="15" hidden="false" customHeight="false" outlineLevel="0" collapsed="false">
      <c r="A25" s="79" t="s">
        <v>304</v>
      </c>
      <c r="B25" s="88" t="n">
        <v>3972</v>
      </c>
      <c r="C25" s="88" t="n">
        <v>6891</v>
      </c>
      <c r="D25" s="88" t="n">
        <v>12061</v>
      </c>
      <c r="E25" s="88" t="n">
        <v>4980</v>
      </c>
    </row>
    <row r="26" customFormat="false" ht="15" hidden="false" customHeight="false" outlineLevel="0" collapsed="false">
      <c r="A26" s="79" t="s">
        <v>305</v>
      </c>
      <c r="B26" s="88" t="n">
        <v>-763</v>
      </c>
      <c r="C26" s="88" t="n">
        <v>-3349</v>
      </c>
      <c r="D26" s="88" t="n">
        <v>2524</v>
      </c>
      <c r="E26" s="88" t="n">
        <v>-67</v>
      </c>
    </row>
    <row r="27" customFormat="false" ht="15" hidden="false" customHeight="false" outlineLevel="0" collapsed="false">
      <c r="A27" s="79" t="s">
        <v>306</v>
      </c>
      <c r="B27" s="88" t="n">
        <v>-763</v>
      </c>
      <c r="C27" s="88" t="n">
        <v>-3349</v>
      </c>
      <c r="D27" s="88" t="n">
        <v>2524</v>
      </c>
      <c r="E27" s="88" t="n">
        <v>-67</v>
      </c>
    </row>
    <row r="28" customFormat="false" ht="15" hidden="false" customHeight="false" outlineLevel="0" collapsed="false">
      <c r="A28" s="79" t="s">
        <v>307</v>
      </c>
      <c r="B28" s="88" t="n">
        <v>-759</v>
      </c>
      <c r="C28" s="88" t="n">
        <v>405</v>
      </c>
      <c r="D28" s="88" t="n">
        <v>429</v>
      </c>
      <c r="E28" s="88" t="n">
        <v>421</v>
      </c>
    </row>
    <row r="29" customFormat="false" ht="15" hidden="false" customHeight="false" outlineLevel="0" collapsed="false">
      <c r="A29" s="79" t="s">
        <v>308</v>
      </c>
      <c r="B29" s="88" t="n">
        <v>1020</v>
      </c>
      <c r="C29" s="88" t="n">
        <v>-2344</v>
      </c>
      <c r="D29" s="88" t="n">
        <v>949</v>
      </c>
      <c r="E29" s="88" t="n">
        <v>-1495</v>
      </c>
    </row>
    <row r="30" customFormat="false" ht="15" hidden="false" customHeight="false" outlineLevel="0" collapsed="false">
      <c r="A30" s="79" t="s">
        <v>309</v>
      </c>
      <c r="B30" s="88" t="n">
        <v>4771</v>
      </c>
      <c r="C30" s="88" t="n">
        <v>4354</v>
      </c>
      <c r="D30" s="88" t="n">
        <v>6589</v>
      </c>
      <c r="E30" s="88" t="n">
        <v>4665</v>
      </c>
    </row>
    <row r="31" customFormat="false" ht="15" hidden="false" customHeight="false" outlineLevel="0" collapsed="false">
      <c r="A31" s="79" t="s">
        <v>310</v>
      </c>
      <c r="B31" s="88" t="n">
        <v>-3751</v>
      </c>
      <c r="C31" s="88" t="n">
        <v>-6698</v>
      </c>
      <c r="D31" s="88" t="n">
        <v>-5640</v>
      </c>
      <c r="E31" s="88" t="n">
        <v>-6160</v>
      </c>
    </row>
    <row r="32" customFormat="false" ht="15" hidden="false" customHeight="false" outlineLevel="0" collapsed="false">
      <c r="A32" s="79" t="s">
        <v>311</v>
      </c>
      <c r="B32" s="88" t="n">
        <v>385</v>
      </c>
      <c r="C32" s="88" t="n">
        <v>368</v>
      </c>
      <c r="D32" s="88" t="n">
        <v>3170</v>
      </c>
      <c r="E32" s="88" t="n">
        <v>3106</v>
      </c>
    </row>
    <row r="33" customFormat="false" ht="15" hidden="false" customHeight="false" outlineLevel="0" collapsed="false">
      <c r="A33" s="79" t="s">
        <v>312</v>
      </c>
      <c r="B33" s="88" t="n">
        <v>458</v>
      </c>
      <c r="C33" s="88" t="n">
        <v>430</v>
      </c>
      <c r="D33" s="88" t="n">
        <v>3485</v>
      </c>
      <c r="E33" s="88" t="n">
        <v>3567</v>
      </c>
    </row>
    <row r="34" customFormat="false" ht="15" hidden="false" customHeight="false" outlineLevel="0" collapsed="false">
      <c r="A34" s="79" t="s">
        <v>313</v>
      </c>
      <c r="B34" s="88" t="n">
        <v>-73</v>
      </c>
      <c r="C34" s="88" t="n">
        <v>-62</v>
      </c>
      <c r="D34" s="88" t="n">
        <v>-315</v>
      </c>
      <c r="E34" s="88" t="n">
        <v>-461</v>
      </c>
    </row>
    <row r="35" customFormat="false" ht="15" hidden="false" customHeight="false" outlineLevel="0" collapsed="false">
      <c r="A35" s="79" t="s">
        <v>314</v>
      </c>
      <c r="B35" s="88" t="n">
        <v>-1409</v>
      </c>
      <c r="C35" s="88" t="n">
        <v>-1778</v>
      </c>
      <c r="D35" s="88" t="n">
        <v>-2024</v>
      </c>
      <c r="E35" s="88" t="n">
        <v>-2099</v>
      </c>
    </row>
    <row r="36" customFormat="false" ht="15" hidden="false" customHeight="false" outlineLevel="0" collapsed="false">
      <c r="A36" s="79" t="s">
        <v>315</v>
      </c>
      <c r="B36" s="88" t="n">
        <v>75</v>
      </c>
      <c r="C36" s="88" t="n">
        <v>74</v>
      </c>
      <c r="D36" s="88" t="n">
        <v>40</v>
      </c>
      <c r="E36" s="88" t="n">
        <v>13</v>
      </c>
    </row>
    <row r="37" customFormat="false" ht="15" hidden="false" customHeight="false" outlineLevel="0" collapsed="false">
      <c r="A37" s="79" t="s">
        <v>316</v>
      </c>
      <c r="B37" s="88" t="n">
        <v>-1484</v>
      </c>
      <c r="C37" s="88" t="n">
        <v>-1852</v>
      </c>
      <c r="D37" s="88" t="n">
        <v>-2064</v>
      </c>
      <c r="E37" s="88" t="n">
        <v>-2112</v>
      </c>
    </row>
    <row r="38" customFormat="false" ht="15" hidden="false" customHeight="false" outlineLevel="0" collapsed="false">
      <c r="A38" s="79" t="s">
        <v>317</v>
      </c>
      <c r="B38" s="88" t="n">
        <v>11018</v>
      </c>
      <c r="C38" s="88" t="n">
        <v>11599</v>
      </c>
      <c r="D38" s="88" t="n">
        <v>6805</v>
      </c>
      <c r="E38" s="88" t="n">
        <v>7408</v>
      </c>
    </row>
    <row r="39" customFormat="false" ht="15" hidden="false" customHeight="false" outlineLevel="0" collapsed="false">
      <c r="A39" s="79" t="s">
        <v>318</v>
      </c>
      <c r="B39" s="88" t="n">
        <v>11018</v>
      </c>
      <c r="C39" s="88" t="n">
        <v>11599</v>
      </c>
      <c r="D39" s="88" t="n">
        <v>6805</v>
      </c>
      <c r="E39" s="88" t="n">
        <v>7408</v>
      </c>
    </row>
    <row r="40" customFormat="false" ht="15" hidden="false" customHeight="false" outlineLevel="0" collapsed="false">
      <c r="A40" s="79" t="s">
        <v>319</v>
      </c>
      <c r="B40" s="88" t="n">
        <v>-605</v>
      </c>
      <c r="C40" s="88" t="n">
        <v>-846</v>
      </c>
      <c r="D40" s="88" t="n">
        <v>-6234</v>
      </c>
      <c r="E40" s="88" t="n">
        <v>-7208</v>
      </c>
    </row>
    <row r="41" customFormat="false" ht="15" hidden="false" customHeight="false" outlineLevel="0" collapsed="false">
      <c r="A41" s="79" t="s">
        <v>320</v>
      </c>
      <c r="B41" s="88" t="n">
        <v>-200</v>
      </c>
      <c r="C41" s="88" t="n">
        <v>-187</v>
      </c>
      <c r="D41" s="88" t="n">
        <v>-63</v>
      </c>
      <c r="E41" s="88" t="n">
        <v>170</v>
      </c>
    </row>
    <row r="42" customFormat="false" ht="15" hidden="false" customHeight="false" outlineLevel="0" collapsed="false">
      <c r="A42" s="79" t="s">
        <v>321</v>
      </c>
      <c r="B42" s="88" t="n">
        <v>399</v>
      </c>
      <c r="C42" s="88" t="n">
        <v>263</v>
      </c>
      <c r="D42" s="88" t="n">
        <v>311</v>
      </c>
      <c r="E42" s="88" t="n">
        <v>-7170</v>
      </c>
    </row>
    <row r="43" customFormat="false" ht="15" hidden="false" customHeight="false" outlineLevel="0" collapsed="false">
      <c r="A43" s="79" t="s">
        <v>322</v>
      </c>
      <c r="B43" s="88" t="n">
        <v>399</v>
      </c>
      <c r="C43" s="88" t="n">
        <v>263</v>
      </c>
      <c r="D43" s="88" t="n">
        <v>311</v>
      </c>
      <c r="E43" s="88" t="n">
        <v>-7170</v>
      </c>
    </row>
    <row r="44" customFormat="false" ht="15" hidden="false" customHeight="false" outlineLevel="0" collapsed="false">
      <c r="A44" s="79" t="s">
        <v>323</v>
      </c>
      <c r="B44" s="88" t="n">
        <v>759</v>
      </c>
      <c r="C44" s="88" t="n">
        <v>841</v>
      </c>
      <c r="D44" s="88" t="n">
        <v>1134</v>
      </c>
      <c r="E44" s="88" t="n">
        <v>-6612</v>
      </c>
    </row>
    <row r="45" customFormat="false" ht="15" hidden="false" customHeight="false" outlineLevel="0" collapsed="false">
      <c r="A45" s="79" t="s">
        <v>324</v>
      </c>
      <c r="B45" s="88" t="n">
        <v>-360</v>
      </c>
      <c r="C45" s="88" t="n">
        <v>-578</v>
      </c>
      <c r="D45" s="88" t="n">
        <v>-823</v>
      </c>
      <c r="E45" s="88" t="n">
        <v>-558</v>
      </c>
    </row>
    <row r="46" customFormat="false" ht="15" hidden="false" customHeight="false" outlineLevel="0" collapsed="false">
      <c r="A46" s="79" t="s">
        <v>325</v>
      </c>
      <c r="B46" s="88" t="n">
        <v>-360</v>
      </c>
      <c r="C46" s="88" t="n">
        <v>-578</v>
      </c>
      <c r="D46" s="88" t="n">
        <v>-823</v>
      </c>
      <c r="E46" s="88" t="n">
        <v>-558</v>
      </c>
    </row>
    <row r="47" customFormat="false" ht="15" hidden="false" customHeight="false" outlineLevel="0" collapsed="false">
      <c r="A47" s="79" t="s">
        <v>326</v>
      </c>
      <c r="B47" s="88" t="n">
        <v>225</v>
      </c>
      <c r="C47" s="88" t="n">
        <v>-323</v>
      </c>
      <c r="D47" s="88" t="n">
        <v>-5667</v>
      </c>
      <c r="E47" s="88" t="n">
        <v>-388</v>
      </c>
    </row>
    <row r="48" customFormat="false" ht="15" hidden="false" customHeight="false" outlineLevel="0" collapsed="false">
      <c r="A48" s="79" t="s">
        <v>327</v>
      </c>
      <c r="B48" s="88" t="n">
        <v>-960</v>
      </c>
      <c r="C48" s="88" t="n">
        <v>-597</v>
      </c>
      <c r="D48" s="88" t="n">
        <v>-520</v>
      </c>
      <c r="E48" s="88" t="n">
        <v>-154</v>
      </c>
    </row>
    <row r="49" customFormat="false" ht="15" hidden="false" customHeight="false" outlineLevel="0" collapsed="false">
      <c r="A49" s="79" t="s">
        <v>328</v>
      </c>
      <c r="B49" s="88" t="n">
        <v>-69</v>
      </c>
      <c r="C49" s="88" t="n">
        <v>-2</v>
      </c>
      <c r="D49" s="88" t="n">
        <v>-295</v>
      </c>
      <c r="E49" s="88" t="n">
        <v>334</v>
      </c>
    </row>
    <row r="50" customFormat="false" ht="15" hidden="false" customHeight="false" outlineLevel="0" collapsed="false">
      <c r="A50" s="79" t="s">
        <v>329</v>
      </c>
      <c r="B50" s="88" t="n">
        <v>-69</v>
      </c>
      <c r="C50" s="88" t="n">
        <v>-2</v>
      </c>
      <c r="D50" s="88" t="n">
        <v>-295</v>
      </c>
      <c r="E50" s="88" t="n">
        <v>334</v>
      </c>
    </row>
    <row r="51" customFormat="false" ht="15" hidden="false" customHeight="false" outlineLevel="0" collapsed="false">
      <c r="A51" s="79" t="s">
        <v>330</v>
      </c>
      <c r="B51" s="88" t="n">
        <v>1193</v>
      </c>
      <c r="C51" s="88" t="n">
        <v>1206</v>
      </c>
      <c r="D51" s="88" t="n">
        <v>1952</v>
      </c>
      <c r="E51" s="88" t="n">
        <v>480</v>
      </c>
    </row>
    <row r="52" customFormat="false" ht="15" hidden="false" customHeight="false" outlineLevel="0" collapsed="false">
      <c r="A52" s="79" t="s">
        <v>331</v>
      </c>
      <c r="B52" s="88" t="n">
        <v>356</v>
      </c>
      <c r="C52" s="88" t="n">
        <v>254</v>
      </c>
      <c r="D52" s="88" t="n">
        <v>286</v>
      </c>
      <c r="E52" s="88" t="n">
        <v>279</v>
      </c>
    </row>
    <row r="53" customFormat="false" ht="15" hidden="false" customHeight="false" outlineLevel="0" collapsed="false">
      <c r="A53" s="79" t="s">
        <v>332</v>
      </c>
      <c r="B53" s="88" t="n">
        <v>-122</v>
      </c>
      <c r="C53" s="88" t="n">
        <v>-2</v>
      </c>
      <c r="D53" s="88" t="n">
        <v>-11</v>
      </c>
      <c r="E53" s="88" t="n">
        <v>517</v>
      </c>
    </row>
    <row r="54" customFormat="false" ht="15" hidden="false" customHeight="false" outlineLevel="0" collapsed="false">
      <c r="A54" s="79" t="s">
        <v>333</v>
      </c>
      <c r="B54" s="88" t="n">
        <v>-122</v>
      </c>
      <c r="C54" s="88" t="n">
        <v>-2</v>
      </c>
      <c r="D54" s="88" t="n">
        <v>-11</v>
      </c>
      <c r="E54" s="88" t="n">
        <v>517</v>
      </c>
    </row>
    <row r="55" customFormat="false" ht="15" hidden="false" customHeight="false" outlineLevel="0" collapsed="false">
      <c r="A55" s="79" t="s">
        <v>334</v>
      </c>
      <c r="B55" s="88" t="n">
        <v>1260</v>
      </c>
      <c r="C55" s="88" t="n">
        <v>1128</v>
      </c>
      <c r="D55" s="88" t="n">
        <v>1075</v>
      </c>
      <c r="E55" s="88" t="n">
        <v>1050</v>
      </c>
    </row>
    <row r="56" customFormat="false" ht="15" hidden="false" customHeight="false" outlineLevel="0" collapsed="false">
      <c r="A56" s="79" t="s">
        <v>335</v>
      </c>
      <c r="B56" s="88" t="n">
        <v>1260</v>
      </c>
      <c r="C56" s="88" t="n">
        <v>1128</v>
      </c>
      <c r="D56" s="88" t="n">
        <v>1075</v>
      </c>
      <c r="E56" s="88" t="n">
        <v>1050</v>
      </c>
    </row>
    <row r="57" customFormat="false" ht="15" hidden="false" customHeight="false" outlineLevel="0" collapsed="false">
      <c r="A57" s="79" t="s">
        <v>336</v>
      </c>
      <c r="B57" s="88" t="n">
        <v>-635</v>
      </c>
      <c r="C57" s="88" t="n">
        <v>-844</v>
      </c>
      <c r="D57" s="88" t="n">
        <v>-912</v>
      </c>
      <c r="E57" s="88" t="n">
        <v>-847</v>
      </c>
    </row>
    <row r="58" customFormat="false" ht="15" hidden="false" customHeight="false" outlineLevel="0" collapsed="false">
      <c r="A58" s="79" t="s">
        <v>337</v>
      </c>
      <c r="B58" s="88" t="n">
        <v>-838</v>
      </c>
      <c r="C58" s="88" t="n">
        <v>-1019</v>
      </c>
      <c r="D58" s="88" t="n">
        <v>-802</v>
      </c>
      <c r="E58" s="88" t="n">
        <v>-1038</v>
      </c>
    </row>
    <row r="59" customFormat="false" ht="15" hidden="false" customHeight="false" outlineLevel="0" collapsed="false">
      <c r="A59" s="79" t="s">
        <v>338</v>
      </c>
      <c r="B59" s="88" t="n">
        <v>203</v>
      </c>
      <c r="C59" s="88" t="n">
        <v>175</v>
      </c>
      <c r="D59" s="88" t="n">
        <v>-110</v>
      </c>
      <c r="E59" s="88" t="n">
        <v>191</v>
      </c>
    </row>
    <row r="60" customFormat="false" ht="15" hidden="false" customHeight="false" outlineLevel="0" collapsed="false">
      <c r="A60" s="79" t="s">
        <v>339</v>
      </c>
      <c r="B60" s="88" t="n">
        <v>9571</v>
      </c>
      <c r="C60" s="88" t="n">
        <v>10703</v>
      </c>
      <c r="D60" s="88" t="n">
        <v>10649</v>
      </c>
      <c r="E60" s="88" t="n">
        <v>13137</v>
      </c>
    </row>
    <row r="62" customFormat="false" ht="15" hidden="false" customHeight="false" outlineLevel="0" collapsed="false">
      <c r="A62" s="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2026-09-21T07:27:39Z</dcterms:created>
  <dc:creator>openpyxl</dc:creator>
  <dc:description/>
  <dc:language>en-US</dc:language>
  <cp:lastModifiedBy/>
  <dcterms:modified xsi:type="dcterms:W3CDTF">2026-09-22T20:17:37Z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