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DCF - Modèle" sheetId="2" state="visible" r:id="rId2"/>
    <sheet xmlns:r="http://schemas.openxmlformats.org/officeDocument/2006/relationships" name="DCF - Sensibilité" sheetId="3" state="visible" r:id="rId3"/>
    <sheet xmlns:r="http://schemas.openxmlformats.org/officeDocument/2006/relationships" name="Comps - Peers" sheetId="4" state="visible" r:id="rId4"/>
    <sheet xmlns:r="http://schemas.openxmlformats.org/officeDocument/2006/relationships" name="Comps - Résultat" sheetId="5" state="visible" r:id="rId5"/>
    <sheet xmlns:r="http://schemas.openxmlformats.org/officeDocument/2006/relationships" name="Football Field" sheetId="6" state="visible" r:id="rId6"/>
    <sheet xmlns:r="http://schemas.openxmlformats.org/officeDocument/2006/relationships" name="Compte de résultat" sheetId="7" state="visible" r:id="rId7"/>
    <sheet xmlns:r="http://schemas.openxmlformats.org/officeDocument/2006/relationships" name="Bilan" sheetId="8" state="visible" r:id="rId8"/>
    <sheet xmlns:r="http://schemas.openxmlformats.org/officeDocument/2006/relationships" name="Cash-fl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;($#,##0);&quot;-&quot;"/>
    <numFmt numFmtId="166" formatCode="#,##0.0"/>
    <numFmt numFmtId="167" formatCode="0.000"/>
    <numFmt numFmtId="168" formatCode="$#,##0.00"/>
    <numFmt numFmtId="169" formatCode="0.0&quot;x&quot;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8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sz val="12"/>
    </font>
    <font>
      <name val="Arial"/>
      <color rgb="00008000"/>
      <sz val="10"/>
    </font>
    <font>
      <name val="Arial"/>
      <b val="1"/>
      <color rgb="00008000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F2F2F2"/>
      </patternFill>
    </fill>
  </fills>
  <borders count="17">
    <border>
      <left/>
      <right/>
      <top/>
      <bottom/>
      <diagonal/>
    </border>
    <border>
      <left style="thin">
        <color rgb="00BFBFBF"/>
      </left>
      <right/>
      <top style="thin">
        <color rgb="00BFBFBF"/>
      </top>
      <bottom/>
    </border>
    <border>
      <left/>
      <right style="thin">
        <color rgb="00BFBFBF"/>
      </right>
      <top style="thin">
        <color rgb="00BFBFBF"/>
      </top>
      <bottom/>
    </border>
    <border>
      <left style="thin">
        <color rgb="00BFBFBF"/>
      </left>
      <right/>
      <top/>
      <bottom/>
    </border>
    <border>
      <left/>
      <right style="thin">
        <color rgb="00BFBFBF"/>
      </right>
      <top/>
      <bottom/>
    </border>
    <border>
      <left style="thin">
        <color rgb="00BFBFBF"/>
      </left>
      <right/>
      <top/>
      <bottom style="thin">
        <color rgb="00BFBFBF"/>
      </bottom>
    </border>
    <border>
      <left/>
      <right style="thin">
        <color rgb="00BFBFBF"/>
      </right>
      <top/>
      <bottom style="thin">
        <color rgb="00BFBFBF"/>
      </bottom>
    </border>
    <border>
      <left style="thin">
        <color rgb="00FFC000"/>
      </left>
      <right/>
      <top style="thin">
        <color rgb="00FFC000"/>
      </top>
      <bottom/>
    </border>
    <border>
      <left/>
      <right/>
      <top style="thin">
        <color rgb="00FFC000"/>
      </top>
      <bottom/>
    </border>
    <border>
      <left/>
      <right style="thin">
        <color rgb="00FFC000"/>
      </right>
      <top style="thin">
        <color rgb="00FFC000"/>
      </top>
      <bottom/>
    </border>
    <border>
      <left style="thin">
        <color rgb="00FFC000"/>
      </left>
      <right/>
      <top/>
      <bottom style="thin">
        <color rgb="00FFC000"/>
      </bottom>
    </border>
    <border>
      <left/>
      <right/>
      <top/>
      <bottom style="thin">
        <color rgb="00FFC000"/>
      </bottom>
    </border>
    <border>
      <left/>
      <right style="thin">
        <color rgb="00FFC000"/>
      </right>
      <top/>
      <bottom style="thin">
        <color rgb="00FFC000"/>
      </bottom>
    </border>
    <border>
      <left/>
      <right/>
      <top style="thin">
        <color rgb="00BFBFBF"/>
      </top>
      <bottom/>
    </border>
    <border>
      <left/>
      <right/>
      <top/>
      <bottom/>
    </border>
    <border>
      <left/>
      <right/>
      <top/>
      <bottom style="thin">
        <color rgb="00BFBFBF"/>
      </bottom>
    </border>
    <border>
      <bottom style="thin">
        <color rgb="00BFBFB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4" fillId="0" borderId="3" pivotButton="0" quotePrefix="0" xfId="0"/>
    <xf numFmtId="168" fontId="11" fillId="0" borderId="4" pivotButton="0" quotePrefix="0" xfId="0"/>
    <xf numFmtId="0" fontId="7" fillId="0" borderId="3" pivotButton="0" quotePrefix="0" xfId="0"/>
    <xf numFmtId="168" fontId="12" fillId="3" borderId="4" pivotButton="0" quotePrefix="0" xfId="0"/>
    <xf numFmtId="0" fontId="11" fillId="0" borderId="4" pivotButton="0" quotePrefix="0" xfId="0"/>
    <xf numFmtId="169" fontId="11" fillId="0" borderId="4" pivotButton="0" quotePrefix="0" xfId="0"/>
    <xf numFmtId="164" fontId="11" fillId="0" borderId="4" pivotButton="0" quotePrefix="0" xfId="0"/>
    <xf numFmtId="0" fontId="4" fillId="0" borderId="5" pivotButton="0" quotePrefix="0" xfId="0"/>
    <xf numFmtId="164" fontId="11" fillId="0" borderId="6" pivotButton="0" quotePrefix="0" xfId="0"/>
    <xf numFmtId="168" fontId="6" fillId="0" borderId="4" pivotButton="0" quotePrefix="0" xfId="0"/>
    <xf numFmtId="168" fontId="6" fillId="0" borderId="6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1" pivotButton="0" quotePrefix="0" xfId="0"/>
    <xf numFmtId="168" fontId="6" fillId="0" borderId="2" pivotButton="0" quotePrefix="0" xfId="0"/>
    <xf numFmtId="0" fontId="6" fillId="0" borderId="4" pivotButton="0" quotePrefix="0" xfId="0"/>
    <xf numFmtId="1" fontId="6" fillId="0" borderId="4" pivotButton="0" quotePrefix="0" xfId="0"/>
    <xf numFmtId="0" fontId="6" fillId="0" borderId="6" pivotButton="0" quotePrefix="0" xfId="0"/>
    <xf numFmtId="0" fontId="0" fillId="0" borderId="6" pivotButton="0" quotePrefix="0" xfId="0"/>
    <xf numFmtId="0" fontId="5" fillId="0" borderId="1" pivotButton="0" quotePrefix="0" xfId="0"/>
    <xf numFmtId="0" fontId="4" fillId="0" borderId="2" pivotButton="0" quotePrefix="0" xfId="0"/>
    <xf numFmtId="0" fontId="6" fillId="0" borderId="3" pivotButton="0" quotePrefix="0" xfId="0"/>
    <xf numFmtId="0" fontId="4" fillId="0" borderId="4" pivotButton="0" quotePrefix="0" xfId="0"/>
    <xf numFmtId="0" fontId="11" fillId="0" borderId="3" pivotButton="0" quotePrefix="0" xfId="0"/>
    <xf numFmtId="0" fontId="4" fillId="0" borderId="6" pivotButton="0" quotePrefix="0" xfId="0"/>
    <xf numFmtId="164" fontId="5" fillId="0" borderId="4" pivotButton="0" quotePrefix="0" xfId="0"/>
    <xf numFmtId="2" fontId="5" fillId="0" borderId="4" pivotButton="0" quotePrefix="0" xfId="0"/>
    <xf numFmtId="165" fontId="5" fillId="0" borderId="4" pivotButton="0" quotePrefix="0" xfId="0"/>
    <xf numFmtId="166" fontId="5" fillId="0" borderId="4" pivotButton="0" quotePrefix="0" xfId="0"/>
    <xf numFmtId="164" fontId="5" fillId="0" borderId="6" pivotButton="0" quotePrefix="0" xfId="0"/>
    <xf numFmtId="164" fontId="6" fillId="0" borderId="4" pivotButton="0" quotePrefix="0" xfId="0"/>
    <xf numFmtId="0" fontId="7" fillId="0" borderId="5" pivotButton="0" quotePrefix="0" xfId="0"/>
    <xf numFmtId="164" fontId="8" fillId="3" borderId="6" pivotButton="0" quotePrefix="0" xfId="0"/>
    <xf numFmtId="0" fontId="3" fillId="2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7" fillId="0" borderId="10" pivotButton="0" quotePrefix="0" xfId="0"/>
    <xf numFmtId="1" fontId="9" fillId="4" borderId="11" pivotButton="0" quotePrefix="0" xfId="0"/>
    <xf numFmtId="0" fontId="10" fillId="4" borderId="12" pivotButton="0" quotePrefix="0" xfId="0"/>
    <xf numFmtId="0" fontId="0" fillId="0" borderId="1" pivotButton="0" quotePrefix="0" xfId="0"/>
    <xf numFmtId="0" fontId="3" fillId="2" borderId="13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164" fontId="5" fillId="0" borderId="14" pivotButton="0" quotePrefix="0" xfId="0"/>
    <xf numFmtId="164" fontId="7" fillId="0" borderId="4" pivotButton="0" quotePrefix="0" xfId="0"/>
    <xf numFmtId="164" fontId="5" fillId="0" borderId="15" pivotButton="0" quotePrefix="0" xfId="0"/>
    <xf numFmtId="164" fontId="7" fillId="0" borderId="6" pivotButton="0" quotePrefix="0" xfId="0"/>
    <xf numFmtId="0" fontId="0" fillId="0" borderId="13" pivotButton="0" quotePrefix="0" xfId="0"/>
    <xf numFmtId="0" fontId="3" fillId="2" borderId="3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4" fontId="7" fillId="0" borderId="15" pivotButton="0" quotePrefix="0" xfId="0"/>
    <xf numFmtId="165" fontId="5" fillId="0" borderId="14" pivotButton="0" quotePrefix="0" xfId="0"/>
    <xf numFmtId="0" fontId="0" fillId="0" borderId="14" pivotButton="0" quotePrefix="0" xfId="0"/>
    <xf numFmtId="0" fontId="0" fillId="0" borderId="4" pivotButton="0" quotePrefix="0" xfId="0"/>
    <xf numFmtId="165" fontId="6" fillId="0" borderId="14" pivotButton="0" quotePrefix="0" xfId="0"/>
    <xf numFmtId="165" fontId="6" fillId="0" borderId="4" pivotButton="0" quotePrefix="0" xfId="0"/>
    <xf numFmtId="0" fontId="4" fillId="5" borderId="3" pivotButton="0" quotePrefix="0" xfId="0"/>
    <xf numFmtId="165" fontId="6" fillId="5" borderId="14" pivotButton="0" quotePrefix="0" xfId="0"/>
    <xf numFmtId="165" fontId="6" fillId="5" borderId="4" pivotButton="0" quotePrefix="0" xfId="0"/>
    <xf numFmtId="165" fontId="7" fillId="0" borderId="14" pivotButton="0" quotePrefix="0" xfId="0"/>
    <xf numFmtId="165" fontId="7" fillId="0" borderId="4" pivotButton="0" quotePrefix="0" xfId="0"/>
    <xf numFmtId="1" fontId="6" fillId="5" borderId="14" pivotButton="0" quotePrefix="0" xfId="0"/>
    <xf numFmtId="1" fontId="6" fillId="5" borderId="4" pivotButton="0" quotePrefix="0" xfId="0"/>
    <xf numFmtId="167" fontId="6" fillId="0" borderId="14" pivotButton="0" quotePrefix="0" xfId="0"/>
    <xf numFmtId="167" fontId="6" fillId="0" borderId="4" pivotButton="0" quotePrefix="0" xfId="0"/>
    <xf numFmtId="0" fontId="4" fillId="5" borderId="5" pivotButton="0" quotePrefix="0" xfId="0"/>
    <xf numFmtId="165" fontId="6" fillId="5" borderId="15" pivotButton="0" quotePrefix="0" xfId="0"/>
    <xf numFmtId="165" fontId="6" fillId="5" borderId="6" pivotButton="0" quotePrefix="0" xfId="0"/>
    <xf numFmtId="165" fontId="6" fillId="0" borderId="6" pivotButton="0" quotePrefix="0" xfId="0"/>
    <xf numFmtId="165" fontId="4" fillId="0" borderId="4" pivotButton="0" quotePrefix="0" xfId="0"/>
    <xf numFmtId="166" fontId="4" fillId="0" borderId="4" pivotButton="0" quotePrefix="0" xfId="0"/>
    <xf numFmtId="168" fontId="10" fillId="3" borderId="4" pivotButton="0" quotePrefix="0" xfId="0"/>
    <xf numFmtId="168" fontId="5" fillId="0" borderId="4" pivotButton="0" quotePrefix="0" xfId="0"/>
    <xf numFmtId="169" fontId="7" fillId="0" borderId="6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5" fillId="0" borderId="0" pivotButton="0" quotePrefix="0" xfId="0"/>
    <xf numFmtId="168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165" fontId="6" fillId="0" borderId="0" pivotButton="0" quotePrefix="0" xfId="0"/>
    <xf numFmtId="169" fontId="6" fillId="0" borderId="0" pivotButton="0" quotePrefix="0" xfId="0"/>
    <xf numFmtId="0" fontId="8" fillId="0" borderId="0" pivotButton="0" quotePrefix="0" xfId="0"/>
    <xf numFmtId="165" fontId="5" fillId="0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168" fontId="7" fillId="3" borderId="0" pivotButton="0" quotePrefix="0" xfId="0"/>
    <xf numFmtId="165" fontId="6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Football Field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'Football Field'!B4</f>
            </strRef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'Football Field'!$A$5:$A$8</f>
            </numRef>
          </cat>
          <val>
            <numRef>
              <f>'Football Field'!$B$5:$B$8</f>
            </numRef>
          </val>
        </ser>
        <ser>
          <idx val="1"/>
          <order val="1"/>
          <tx>
            <strRef>
              <f>'Football Field'!C4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'Football Field'!$A$5:$A$8</f>
            </numRef>
          </cat>
          <val>
            <numRef>
              <f>'Football Field'!$C$5:$C$8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par 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Synthèse de valorisation — MCD</t>
        </is>
      </c>
    </row>
    <row r="2">
      <c r="A2" s="2" t="inlineStr">
        <is>
          <t>Généré le 21/09/2026</t>
        </is>
      </c>
    </row>
    <row r="4" ht="20" customHeight="1">
      <c r="A4" s="3" t="inlineStr">
        <is>
          <t>VALORISATION</t>
        </is>
      </c>
      <c r="B4" s="4" t="n"/>
    </row>
    <row r="5">
      <c r="A5" s="5" t="inlineStr">
        <is>
          <t>Prix de marché actuel</t>
        </is>
      </c>
      <c r="B5" s="6">
        <f>'DCF - Modèle'!B62</f>
        <v/>
      </c>
    </row>
    <row r="6">
      <c r="A6" s="7" t="inlineStr">
        <is>
          <t>Valeur par action — DCF (scénario actif)</t>
        </is>
      </c>
      <c r="B6" s="8">
        <f>'DCF - Modèle'!B61</f>
        <v/>
      </c>
    </row>
    <row r="7">
      <c r="A7" s="5" t="inlineStr">
        <is>
          <t>Scénario actif</t>
        </is>
      </c>
      <c r="B7" s="9">
        <f>'DCF - Modèle'!C24</f>
        <v/>
      </c>
    </row>
    <row r="8">
      <c r="A8" s="7" t="inlineStr">
        <is>
          <t>Valeur par action — Comparables (moyenne)</t>
        </is>
      </c>
      <c r="B8" s="8">
        <f>'Comps - Résultat'!D16</f>
        <v/>
      </c>
    </row>
    <row r="9">
      <c r="A9" s="5" t="inlineStr">
        <is>
          <t>Ratio DCF / marché</t>
        </is>
      </c>
      <c r="B9" s="10">
        <f>'DCF - Modèle'!B63</f>
        <v/>
      </c>
    </row>
    <row r="10">
      <c r="A10" s="5" t="inlineStr">
        <is>
          <t>WACC</t>
        </is>
      </c>
      <c r="B10" s="11">
        <f>'DCF - Modèle'!B21</f>
        <v/>
      </c>
    </row>
    <row r="11">
      <c r="A11" s="5" t="inlineStr">
        <is>
          <t>Croissance perpétuelle retenue</t>
        </is>
      </c>
      <c r="B11" s="11">
        <f>'DCF - Modèle'!E27</f>
        <v/>
      </c>
    </row>
    <row r="12">
      <c r="A12" s="12" t="inlineStr">
        <is>
          <t>Marge d'EBIT retenue</t>
        </is>
      </c>
      <c r="B12" s="13">
        <f>'DCF - Modèle'!E26</f>
        <v/>
      </c>
    </row>
    <row r="14" ht="20" customHeight="1">
      <c r="A14" s="3" t="inlineStr">
        <is>
          <t>SCÉNARIOS (SNAPSHOT PYTHON)</t>
        </is>
      </c>
      <c r="B14" s="4" t="n"/>
    </row>
    <row r="15">
      <c r="A15" s="5" t="inlineStr">
        <is>
          <t>Bear</t>
        </is>
      </c>
      <c r="B15" s="14" t="n">
        <v>170.5894548362293</v>
      </c>
    </row>
    <row r="16">
      <c r="A16" s="5" t="inlineStr">
        <is>
          <t>Base</t>
        </is>
      </c>
      <c r="B16" s="14" t="n">
        <v>281.352641438111</v>
      </c>
    </row>
    <row r="17">
      <c r="A17" s="12" t="inlineStr">
        <is>
          <t>Bull</t>
        </is>
      </c>
      <c r="B17" s="15" t="n">
        <v>469.2505907907117</v>
      </c>
    </row>
    <row r="19" ht="20" customHeight="1">
      <c r="A19" s="16" t="inlineStr">
        <is>
          <t>CONSENSUS ANALYSTES</t>
        </is>
      </c>
    </row>
    <row r="20">
      <c r="A20" s="17" t="inlineStr">
        <is>
          <t>Prix cible moyen</t>
        </is>
      </c>
      <c r="B20" s="18" t="n">
        <v>311.5484</v>
      </c>
    </row>
    <row r="21">
      <c r="A21" s="5" t="inlineStr">
        <is>
          <t>Range analystes (low - high)</t>
        </is>
      </c>
      <c r="B21" s="19" t="inlineStr">
        <is>
          <t>250.00 - 407.00</t>
        </is>
      </c>
    </row>
    <row r="22">
      <c r="A22" s="5" t="inlineStr">
        <is>
          <t>Nombre d'analystes</t>
        </is>
      </c>
      <c r="B22" s="20" t="n">
        <v>31</v>
      </c>
    </row>
    <row r="23">
      <c r="A23" s="12" t="inlineStr">
        <is>
          <t>Recommandation</t>
        </is>
      </c>
      <c r="B23" s="21" t="inlineStr">
        <is>
          <t>buy</t>
        </is>
      </c>
    </row>
    <row r="25" ht="20" customHeight="1">
      <c r="A25" s="3" t="inlineStr">
        <is>
          <t>COMPARABLES RETENUS</t>
        </is>
      </c>
      <c r="B25" s="4" t="n"/>
    </row>
    <row r="26">
      <c r="A26" s="12" t="inlineStr">
        <is>
          <t>YUM, QSR, SBUX, WEN, DPZ, CMG, DRI</t>
        </is>
      </c>
      <c r="B26" s="22" t="n"/>
    </row>
    <row r="28" ht="20" customHeight="1">
      <c r="A28" s="16" t="inlineStr">
        <is>
          <t>LÉGENDE</t>
        </is>
      </c>
    </row>
    <row r="29">
      <c r="A29" s="23" t="inlineStr">
        <is>
          <t>Bleu</t>
        </is>
      </c>
      <c r="B29" s="24" t="inlineStr">
        <is>
          <t>Hypothèse modifiable (input)</t>
        </is>
      </c>
    </row>
    <row r="30">
      <c r="A30" s="25" t="inlineStr">
        <is>
          <t>Noir</t>
        </is>
      </c>
      <c r="B30" s="26" t="inlineStr">
        <is>
          <t>Formule calculée</t>
        </is>
      </c>
    </row>
    <row r="31">
      <c r="A31" s="27" t="inlineStr">
        <is>
          <t>Vert</t>
        </is>
      </c>
      <c r="B31" s="26" t="inlineStr">
        <is>
          <t>Lien vers un autre onglet</t>
        </is>
      </c>
    </row>
    <row r="32">
      <c r="A32" s="12" t="inlineStr">
        <is>
          <t>Jaune</t>
        </is>
      </c>
      <c r="B32" s="28" t="inlineStr">
        <is>
          <t>Résultat clé (surligné)</t>
        </is>
      </c>
    </row>
  </sheetData>
  <mergeCells count="5">
    <mergeCell ref="A4:B4"/>
    <mergeCell ref="A25:B25"/>
    <mergeCell ref="A19:B19"/>
    <mergeCell ref="A28:B28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DCF — MCD</t>
        </is>
      </c>
    </row>
    <row r="2">
      <c r="A2" s="2" t="inlineStr">
        <is>
          <t>Bleu = hypothèse modifiable  |  Noir = formule  |  Jaune = résultat clé</t>
        </is>
      </c>
    </row>
    <row r="3" ht="20" customHeight="1">
      <c r="A3" s="3" t="inlineStr">
        <is>
          <t>HYPOTHÈSES</t>
        </is>
      </c>
      <c r="B3" s="4" t="n"/>
    </row>
    <row r="4">
      <c r="A4" s="5" t="inlineStr">
        <is>
          <t>Taux sans risque</t>
        </is>
      </c>
      <c r="B4" s="29" t="n">
        <v>0.042</v>
      </c>
      <c r="C4" s="2" t="inlineStr">
        <is>
          <t>10Y US Treasury — U.S. Department of the Treasury (home.treasury.gov/resource-center/data-chart-center/interest-rates) ou FRED, série DGS10.</t>
        </is>
      </c>
    </row>
    <row r="5">
      <c r="A5" s="5" t="inlineStr">
        <is>
          <t>Prime de risque marché</t>
        </is>
      </c>
      <c r="B5" s="29" t="n">
        <v>0.05</v>
      </c>
      <c r="C5" s="2" t="inlineStr">
        <is>
          <t>Equity Risk Premium (US) — Damodaran, NYU Stern (pages.stern.nyu.edu/~adamodar).</t>
        </is>
      </c>
    </row>
    <row r="6">
      <c r="A6" s="5" t="inlineStr">
        <is>
          <t>Beta</t>
        </is>
      </c>
      <c r="B6" s="30" t="n">
        <v>0.414</v>
      </c>
      <c r="C6" s="2" t="inlineStr">
        <is>
          <t>yfinance (5Y monthly vs S&amp;P 500). À recouper avec Bloomberg/Refinitiv si la valeur semble aberrante, ou avec le beta moyen des comparables.</t>
        </is>
      </c>
    </row>
    <row r="7">
      <c r="A7" s="5" t="inlineStr">
        <is>
          <t>Coût de la dette (avant impôt)</t>
        </is>
      </c>
      <c r="B7" s="29" t="n">
        <v>0.035</v>
      </c>
      <c r="C7" s="2" t="inlineStr">
        <is>
          <t>Approximé par le taux d'intérêt moyen sur la dette existante (notes annexes des états financiers) ou le spread de crédit observé.</t>
        </is>
      </c>
    </row>
    <row r="8">
      <c r="A8" s="5" t="inlineStr">
        <is>
          <t>Taux d'imposition</t>
        </is>
      </c>
      <c r="B8" s="29" t="n">
        <v>0.25</v>
      </c>
      <c r="C8" s="2" t="inlineStr">
        <is>
          <t>Taux effectif observé sur les derniers comptes annuels de la société (10-K / 20-F / document d'enregistrement universel).</t>
        </is>
      </c>
    </row>
    <row r="9">
      <c r="A9" s="5" t="inlineStr">
        <is>
          <t>Market cap (equity, M)</t>
        </is>
      </c>
      <c r="B9" s="31" t="n">
        <v>175664.939008</v>
      </c>
    </row>
    <row r="10">
      <c r="A10" s="5" t="inlineStr">
        <is>
          <t>Dette totale (M)</t>
        </is>
      </c>
      <c r="B10" s="31" t="n">
        <v>54814</v>
      </c>
    </row>
    <row r="11">
      <c r="A11" s="5" t="inlineStr">
        <is>
          <t>Dette nette (M)</t>
        </is>
      </c>
      <c r="B11" s="31" t="n">
        <v>54040</v>
      </c>
    </row>
    <row r="12">
      <c r="A12" s="5" t="inlineStr">
        <is>
          <t>Actions en circulation (M)</t>
        </is>
      </c>
      <c r="B12" s="32" t="n">
        <v>707.6415525620367</v>
      </c>
    </row>
    <row r="13">
      <c r="A13" s="5" t="inlineStr">
        <is>
          <t>Capex (% du CA)</t>
        </is>
      </c>
      <c r="B13" s="29" t="n">
        <v>0.08</v>
      </c>
    </row>
    <row r="14">
      <c r="A14" s="5" t="inlineStr">
        <is>
          <t>D&amp;A (% du CA)</t>
        </is>
      </c>
      <c r="B14" s="29" t="n">
        <v>0.06</v>
      </c>
    </row>
    <row r="15">
      <c r="A15" s="12" t="inlineStr">
        <is>
          <t>Variation du BFR (% du CA)</t>
        </is>
      </c>
      <c r="B15" s="33" t="n">
        <v>0.005</v>
      </c>
    </row>
    <row r="17" ht="20" customHeight="1">
      <c r="A17" s="3" t="inlineStr">
        <is>
          <t>WACC (CAPM)</t>
        </is>
      </c>
      <c r="B17" s="4" t="n"/>
    </row>
    <row r="18">
      <c r="A18" s="5" t="inlineStr">
        <is>
          <t>Coût des fonds propres (CAPM)</t>
        </is>
      </c>
      <c r="B18" s="34">
        <f>B4+B6*B5</f>
        <v/>
      </c>
    </row>
    <row r="19">
      <c r="A19" s="5" t="inlineStr">
        <is>
          <t>Poids Equity</t>
        </is>
      </c>
      <c r="B19" s="34">
        <f>B9/(B9+B10)</f>
        <v/>
      </c>
    </row>
    <row r="20">
      <c r="A20" s="5" t="inlineStr">
        <is>
          <t>Poids Dette</t>
        </is>
      </c>
      <c r="B20" s="34">
        <f>1-B19</f>
        <v/>
      </c>
    </row>
    <row r="21">
      <c r="A21" s="35" t="inlineStr">
        <is>
          <t>WACC</t>
        </is>
      </c>
      <c r="B21" s="36">
        <f>B19*B18+B20*B7*(1-B8)</f>
        <v/>
      </c>
    </row>
    <row r="23" ht="20" customHeight="1">
      <c r="A23" s="37" t="inlineStr">
        <is>
          <t>SCÉNARIO ACTIF</t>
        </is>
      </c>
      <c r="B23" s="38" t="n"/>
      <c r="C23" s="39" t="n"/>
    </row>
    <row r="24">
      <c r="A24" s="40" t="inlineStr">
        <is>
          <t>Sélecteur (1 = Bear, 2 = Base, 3 = Bull)</t>
        </is>
      </c>
      <c r="B24" s="41" t="n">
        <v>2</v>
      </c>
      <c r="C24" s="42">
        <f>CHOOSE(B24,"Bear","Base","Bull")</f>
        <v/>
      </c>
    </row>
    <row r="25">
      <c r="A25" s="43" t="inlineStr"/>
      <c r="B25" s="44" t="inlineStr">
        <is>
          <t>Bear</t>
        </is>
      </c>
      <c r="C25" s="44" t="inlineStr">
        <is>
          <t>Base</t>
        </is>
      </c>
      <c r="D25" s="44" t="inlineStr">
        <is>
          <t>Bull</t>
        </is>
      </c>
      <c r="E25" s="45" t="inlineStr">
        <is>
          <t>Retenu (actif)</t>
        </is>
      </c>
    </row>
    <row r="26">
      <c r="A26" s="5" t="inlineStr">
        <is>
          <t>Marge d'EBIT</t>
        </is>
      </c>
      <c r="B26" s="46" t="n">
        <v>0.4396573584278114</v>
      </c>
      <c r="C26" s="46" t="n">
        <v>0.4596573584278114</v>
      </c>
      <c r="D26" s="46" t="n">
        <v>0.4796573584278114</v>
      </c>
      <c r="E26" s="47">
        <f>CHOOSE($B$24,B26,C26,D26)</f>
        <v/>
      </c>
      <c r="F26" s="2" t="inlineStr">
        <is>
          <t>Moyenne des 3 derniers exercices (yfinance) (Bear/Bull = delta ± 2% vs Base)</t>
        </is>
      </c>
    </row>
    <row r="27">
      <c r="A27" s="12" t="inlineStr">
        <is>
          <t>Croissance perpétuelle (g)</t>
        </is>
      </c>
      <c r="B27" s="48" t="n">
        <v>0.01</v>
      </c>
      <c r="C27" s="48" t="n">
        <v>0.02</v>
      </c>
      <c r="D27" s="48" t="n">
        <v>0.03</v>
      </c>
      <c r="E27" s="49">
        <f>CHOOSE($B$24,B27,C27,D27)</f>
        <v/>
      </c>
    </row>
    <row r="29" ht="20" customHeight="1">
      <c r="A29" s="3" t="inlineStr">
        <is>
          <t>CROISSANCE DU CA PAR SCÉNARIO (%)</t>
        </is>
      </c>
      <c r="B29" s="50" t="n"/>
      <c r="C29" s="50" t="n"/>
      <c r="D29" s="50" t="n"/>
      <c r="E29" s="50" t="n"/>
      <c r="F29" s="4" t="n"/>
    </row>
    <row r="30">
      <c r="A30" s="51" t="inlineStr">
        <is>
          <t>Année</t>
        </is>
      </c>
      <c r="B30" s="52" t="inlineStr">
        <is>
          <t>N+1</t>
        </is>
      </c>
      <c r="C30" s="52" t="inlineStr">
        <is>
          <t>N+2</t>
        </is>
      </c>
      <c r="D30" s="52" t="inlineStr">
        <is>
          <t>N+3</t>
        </is>
      </c>
      <c r="E30" s="52" t="inlineStr">
        <is>
          <t>N+4</t>
        </is>
      </c>
      <c r="F30" s="53" t="inlineStr">
        <is>
          <t>N+5</t>
        </is>
      </c>
    </row>
    <row r="31">
      <c r="A31" s="5" t="inlineStr">
        <is>
          <t>Bear</t>
        </is>
      </c>
      <c r="B31" s="46" t="n">
        <v>0</v>
      </c>
      <c r="C31" s="46" t="n">
        <v>-0.005</v>
      </c>
      <c r="D31" s="46" t="n">
        <v>-0.01</v>
      </c>
      <c r="E31" s="46" t="n">
        <v>-0.01</v>
      </c>
      <c r="F31" s="29" t="n">
        <v>-0.005</v>
      </c>
    </row>
    <row r="32">
      <c r="A32" s="5" t="inlineStr">
        <is>
          <t>Base</t>
        </is>
      </c>
      <c r="B32" s="46" t="n">
        <v>0.02</v>
      </c>
      <c r="C32" s="46" t="n">
        <v>0.02</v>
      </c>
      <c r="D32" s="46" t="n">
        <v>0.015</v>
      </c>
      <c r="E32" s="46" t="n">
        <v>0.015</v>
      </c>
      <c r="F32" s="29" t="n">
        <v>0.01</v>
      </c>
    </row>
    <row r="33">
      <c r="A33" s="5" t="inlineStr">
        <is>
          <t>Bull</t>
        </is>
      </c>
      <c r="B33" s="46" t="n">
        <v>0.04</v>
      </c>
      <c r="C33" s="46" t="n">
        <v>0.035</v>
      </c>
      <c r="D33" s="46" t="n">
        <v>0.03</v>
      </c>
      <c r="E33" s="46" t="n">
        <v>0.025</v>
      </c>
      <c r="F33" s="29" t="n">
        <v>0.02</v>
      </c>
    </row>
    <row r="34">
      <c r="A34" s="35" t="inlineStr">
        <is>
          <t>Retenue (active)</t>
        </is>
      </c>
      <c r="B34" s="54">
        <f>CHOOSE($B$24,B31,B32,B33)</f>
        <v/>
      </c>
      <c r="C34" s="54">
        <f>CHOOSE($B$24,C31,C32,C33)</f>
        <v/>
      </c>
      <c r="D34" s="54">
        <f>CHOOSE($B$24,D31,D32,D33)</f>
        <v/>
      </c>
      <c r="E34" s="54">
        <f>CHOOSE($B$24,E31,E32,E33)</f>
        <v/>
      </c>
      <c r="F34" s="49">
        <f>CHOOSE($B$24,F31,F32,F33)</f>
        <v/>
      </c>
    </row>
    <row r="36" ht="20" customHeight="1">
      <c r="A36" s="3" t="inlineStr">
        <is>
          <t>PROJECTION DES FLUX DE TRÉSORERIE DISPONIBLES</t>
        </is>
      </c>
      <c r="B36" s="50" t="n"/>
      <c r="C36" s="50" t="n"/>
      <c r="D36" s="50" t="n"/>
      <c r="E36" s="50" t="n"/>
      <c r="F36" s="4" t="n"/>
    </row>
    <row r="37">
      <c r="A37" s="5" t="inlineStr">
        <is>
          <t>CA de référence (dernier exercice, M)</t>
        </is>
      </c>
      <c r="B37" s="55" t="n">
        <v>26885</v>
      </c>
      <c r="C37" s="56" t="n"/>
      <c r="D37" s="56" t="n"/>
      <c r="E37" s="56" t="n"/>
      <c r="F37" s="57" t="n"/>
    </row>
    <row r="38">
      <c r="A38" s="51" t="inlineStr">
        <is>
          <t>Année</t>
        </is>
      </c>
      <c r="B38" s="52" t="inlineStr">
        <is>
          <t>N+1</t>
        </is>
      </c>
      <c r="C38" s="52" t="inlineStr">
        <is>
          <t>N+2</t>
        </is>
      </c>
      <c r="D38" s="52" t="inlineStr">
        <is>
          <t>N+3</t>
        </is>
      </c>
      <c r="E38" s="52" t="inlineStr">
        <is>
          <t>N+4</t>
        </is>
      </c>
      <c r="F38" s="53" t="inlineStr">
        <is>
          <t>N+5</t>
        </is>
      </c>
    </row>
    <row r="39">
      <c r="A39" s="5" t="inlineStr">
        <is>
          <t>Revenus (M)</t>
        </is>
      </c>
      <c r="B39" s="58">
        <f>B37*(1+B34)</f>
        <v/>
      </c>
      <c r="C39" s="58">
        <f>B39*(1+C34)</f>
        <v/>
      </c>
      <c r="D39" s="58">
        <f>C39*(1+D34)</f>
        <v/>
      </c>
      <c r="E39" s="58">
        <f>D39*(1+E34)</f>
        <v/>
      </c>
      <c r="F39" s="59">
        <f>E39*(1+F34)</f>
        <v/>
      </c>
    </row>
    <row r="40">
      <c r="A40" s="60" t="inlineStr">
        <is>
          <t>EBIT (M)</t>
        </is>
      </c>
      <c r="B40" s="61">
        <f>B39*$E$26</f>
        <v/>
      </c>
      <c r="C40" s="61">
        <f>C39*$E$26</f>
        <v/>
      </c>
      <c r="D40" s="61">
        <f>D39*$E$26</f>
        <v/>
      </c>
      <c r="E40" s="61">
        <f>E39*$E$26</f>
        <v/>
      </c>
      <c r="F40" s="62">
        <f>F39*$E$26</f>
        <v/>
      </c>
    </row>
    <row r="41">
      <c r="A41" s="5" t="inlineStr">
        <is>
          <t>NOPAT (M)</t>
        </is>
      </c>
      <c r="B41" s="58">
        <f>B40*(1-$B$8)</f>
        <v/>
      </c>
      <c r="C41" s="58">
        <f>C40*(1-$B$8)</f>
        <v/>
      </c>
      <c r="D41" s="58">
        <f>D40*(1-$B$8)</f>
        <v/>
      </c>
      <c r="E41" s="58">
        <f>E40*(1-$B$8)</f>
        <v/>
      </c>
      <c r="F41" s="59">
        <f>F40*(1-$B$8)</f>
        <v/>
      </c>
    </row>
    <row r="42">
      <c r="A42" s="60" t="inlineStr">
        <is>
          <t>D&amp;A (M)</t>
        </is>
      </c>
      <c r="B42" s="61">
        <f>B39*$B$14</f>
        <v/>
      </c>
      <c r="C42" s="61">
        <f>C39*$B$14</f>
        <v/>
      </c>
      <c r="D42" s="61">
        <f>D39*$B$14</f>
        <v/>
      </c>
      <c r="E42" s="61">
        <f>E39*$B$14</f>
        <v/>
      </c>
      <c r="F42" s="62">
        <f>F39*$B$14</f>
        <v/>
      </c>
    </row>
    <row r="43">
      <c r="A43" s="5" t="inlineStr">
        <is>
          <t>Capex (M)</t>
        </is>
      </c>
      <c r="B43" s="58">
        <f>B39*$B$13</f>
        <v/>
      </c>
      <c r="C43" s="58">
        <f>C39*$B$13</f>
        <v/>
      </c>
      <c r="D43" s="58">
        <f>D39*$B$13</f>
        <v/>
      </c>
      <c r="E43" s="58">
        <f>E39*$B$13</f>
        <v/>
      </c>
      <c r="F43" s="59">
        <f>F39*$B$13</f>
        <v/>
      </c>
    </row>
    <row r="44">
      <c r="A44" s="60" t="inlineStr">
        <is>
          <t>Variation du BFR (M)</t>
        </is>
      </c>
      <c r="B44" s="61">
        <f>B39*$B$15</f>
        <v/>
      </c>
      <c r="C44" s="61">
        <f>C39*$B$15</f>
        <v/>
      </c>
      <c r="D44" s="61">
        <f>D39*$B$15</f>
        <v/>
      </c>
      <c r="E44" s="61">
        <f>E39*$B$15</f>
        <v/>
      </c>
      <c r="F44" s="62">
        <f>F39*$B$15</f>
        <v/>
      </c>
    </row>
    <row r="45">
      <c r="A45" s="7" t="inlineStr">
        <is>
          <t>FCF (M)</t>
        </is>
      </c>
      <c r="B45" s="63">
        <f>B41+B42-B43-B44</f>
        <v/>
      </c>
      <c r="C45" s="63">
        <f>C41+C42-C43-C44</f>
        <v/>
      </c>
      <c r="D45" s="63">
        <f>D41+D42-D43-D44</f>
        <v/>
      </c>
      <c r="E45" s="63">
        <f>E41+E42-E43-E44</f>
        <v/>
      </c>
      <c r="F45" s="64">
        <f>F41+F42-F43-F44</f>
        <v/>
      </c>
    </row>
    <row r="46">
      <c r="A46" s="60" t="inlineStr">
        <is>
          <t>Période (t)</t>
        </is>
      </c>
      <c r="B46" s="65" t="n">
        <v>1</v>
      </c>
      <c r="C46" s="65" t="n">
        <v>2</v>
      </c>
      <c r="D46" s="65" t="n">
        <v>3</v>
      </c>
      <c r="E46" s="65" t="n">
        <v>4</v>
      </c>
      <c r="F46" s="66" t="n">
        <v>5</v>
      </c>
    </row>
    <row r="47">
      <c r="A47" s="5" t="inlineStr">
        <is>
          <t>Facteur d'actualisation</t>
        </is>
      </c>
      <c r="B47" s="67">
        <f>1/(1+$B$21)^B46</f>
        <v/>
      </c>
      <c r="C47" s="67">
        <f>1/(1+$B$21)^C46</f>
        <v/>
      </c>
      <c r="D47" s="67">
        <f>1/(1+$B$21)^D46</f>
        <v/>
      </c>
      <c r="E47" s="67">
        <f>1/(1+$B$21)^E46</f>
        <v/>
      </c>
      <c r="F47" s="68">
        <f>1/(1+$B$21)^F46</f>
        <v/>
      </c>
    </row>
    <row r="48">
      <c r="A48" s="69" t="inlineStr">
        <is>
          <t>VA des FCF (M)</t>
        </is>
      </c>
      <c r="B48" s="70">
        <f>B45*B47</f>
        <v/>
      </c>
      <c r="C48" s="70">
        <f>C45*C47</f>
        <v/>
      </c>
      <c r="D48" s="70">
        <f>D45*D47</f>
        <v/>
      </c>
      <c r="E48" s="70">
        <f>E45*E47</f>
        <v/>
      </c>
      <c r="F48" s="71">
        <f>F45*F47</f>
        <v/>
      </c>
    </row>
    <row r="50" ht="20" customHeight="1">
      <c r="A50" s="3" t="inlineStr">
        <is>
          <t>VALEUR TERMINALE</t>
        </is>
      </c>
      <c r="B50" s="4" t="n"/>
    </row>
    <row r="51">
      <c r="A51" s="5" t="inlineStr">
        <is>
          <t>Valeur terminale (M)</t>
        </is>
      </c>
      <c r="B51" s="59">
        <f>F45*(1+E27)/(B21-E27)</f>
        <v/>
      </c>
    </row>
    <row r="52">
      <c r="A52" s="12" t="inlineStr">
        <is>
          <t>VA de la valeur terminale (M)</t>
        </is>
      </c>
      <c r="B52" s="72">
        <f>B51*F47</f>
        <v/>
      </c>
    </row>
    <row r="54" ht="20" customHeight="1">
      <c r="A54" s="3" t="inlineStr">
        <is>
          <t>RÉSULTATS</t>
        </is>
      </c>
      <c r="B54" s="4" t="n"/>
    </row>
    <row r="55">
      <c r="A55" s="5" t="inlineStr">
        <is>
          <t>Somme des VA des FCF (M)</t>
        </is>
      </c>
      <c r="B55" s="73">
        <f>SUM(B48:F48)</f>
        <v/>
      </c>
    </row>
    <row r="56">
      <c r="A56" s="5" t="inlineStr">
        <is>
          <t>VA de la valeur terminale (M)</t>
        </is>
      </c>
      <c r="B56" s="73">
        <f>B52</f>
        <v/>
      </c>
    </row>
    <row r="57">
      <c r="A57" s="7" t="inlineStr">
        <is>
          <t>Valeur d'entreprise — VE (M)</t>
        </is>
      </c>
      <c r="B57" s="64">
        <f>B55+B56</f>
        <v/>
      </c>
    </row>
    <row r="58">
      <c r="A58" s="5" t="inlineStr">
        <is>
          <t>Dette nette (M)</t>
        </is>
      </c>
      <c r="B58" s="73">
        <f>B11</f>
        <v/>
      </c>
    </row>
    <row r="59">
      <c r="A59" s="7" t="inlineStr">
        <is>
          <t>Valeur des capitaux propres (M)</t>
        </is>
      </c>
      <c r="B59" s="64">
        <f>B57-B58</f>
        <v/>
      </c>
    </row>
    <row r="60">
      <c r="A60" s="5" t="inlineStr">
        <is>
          <t>Nombre d'actions (M)</t>
        </is>
      </c>
      <c r="B60" s="74">
        <f>B12</f>
        <v/>
      </c>
    </row>
    <row r="61">
      <c r="A61" s="7" t="inlineStr">
        <is>
          <t>Valeur par action (DCF)</t>
        </is>
      </c>
      <c r="B61" s="75">
        <f>B59/B60</f>
        <v/>
      </c>
    </row>
    <row r="62">
      <c r="A62" s="5" t="inlineStr">
        <is>
          <t>Prix de marché actuel</t>
        </is>
      </c>
      <c r="B62" s="76" t="n">
        <v>248.24</v>
      </c>
    </row>
    <row r="63">
      <c r="A63" s="35" t="inlineStr">
        <is>
          <t>Ratio DCF / marché</t>
        </is>
      </c>
      <c r="B63" s="77">
        <f>B61/B62</f>
        <v/>
      </c>
    </row>
  </sheetData>
  <mergeCells count="7">
    <mergeCell ref="A54:B54"/>
    <mergeCell ref="A36:F36"/>
    <mergeCell ref="A50:B50"/>
    <mergeCell ref="A23:E23"/>
    <mergeCell ref="A17:B17"/>
    <mergeCell ref="A29:F2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Sensibilité — Valeur par action (scénario actif)</t>
        </is>
      </c>
    </row>
    <row r="2">
      <c r="A2" s="2" t="inlineStr">
        <is>
          <t>Recalculée par formule à partir de la feuille DCF - Modèle : toute modification des FCF ou du scénario actif s'y répercute automatiquement.</t>
        </is>
      </c>
    </row>
    <row r="3">
      <c r="A3" s="78" t="inlineStr">
        <is>
          <t>WACC \ g</t>
        </is>
      </c>
      <c r="B3" s="79" t="n">
        <v>0.01</v>
      </c>
      <c r="C3" s="79" t="n">
        <v>0.015</v>
      </c>
      <c r="D3" s="79" t="n">
        <v>0.02</v>
      </c>
      <c r="E3" s="79" t="n">
        <v>0.025</v>
      </c>
      <c r="F3" s="79" t="n">
        <v>0.03</v>
      </c>
    </row>
    <row r="4">
      <c r="A4" s="80" t="n">
        <v>0.034</v>
      </c>
      <c r="B4" s="81">
        <f>IFERROR((SUMPRODUCT('DCF - Modèle'!$B$45:$F$45,1/(1+$A4)^'DCF - Modèle'!$B$46:$F$46)+('DCF - Modèle'!$F$45*(1+B$3))/($A4-B$3)/(1+$A4)^'DCF - Modèle'!$F$46-'DCF - Modèle'!$B$11)/'DCF - Modèle'!$B$12,"n/a")</f>
        <v/>
      </c>
      <c r="C4" s="81">
        <f>IFERROR((SUMPRODUCT('DCF - Modèle'!$B$45:$F$45,1/(1+$A4)^'DCF - Modèle'!$B$46:$F$46)+('DCF - Modèle'!$F$45*(1+C$3))/($A4-C$3)/(1+$A4)^'DCF - Modèle'!$F$46-'DCF - Modèle'!$B$11)/'DCF - Modèle'!$B$12,"n/a")</f>
        <v/>
      </c>
      <c r="D4" s="81">
        <f>IFERROR((SUMPRODUCT('DCF - Modèle'!$B$45:$F$45,1/(1+$A4)^'DCF - Modèle'!$B$46:$F$46)+('DCF - Modèle'!$F$45*(1+D$3))/($A4-D$3)/(1+$A4)^'DCF - Modèle'!$F$46-'DCF - Modèle'!$B$11)/'DCF - Modèle'!$B$12,"n/a")</f>
        <v/>
      </c>
      <c r="E4" s="81">
        <f>IFERROR((SUMPRODUCT('DCF - Modèle'!$B$45:$F$45,1/(1+$A4)^'DCF - Modèle'!$B$46:$F$46)+('DCF - Modèle'!$F$45*(1+E$3))/($A4-E$3)/(1+$A4)^'DCF - Modèle'!$F$46-'DCF - Modèle'!$B$11)/'DCF - Modèle'!$B$12,"n/a")</f>
        <v/>
      </c>
      <c r="F4" s="81">
        <f>IFERROR((SUMPRODUCT('DCF - Modèle'!$B$45:$F$45,1/(1+$A4)^'DCF - Modèle'!$B$46:$F$46)+('DCF - Modèle'!$F$45*(1+F$3))/($A4-F$3)/(1+$A4)^'DCF - Modèle'!$F$46-'DCF - Modèle'!$B$11)/'DCF - Modèle'!$B$12,"n/a")</f>
        <v/>
      </c>
    </row>
    <row r="5">
      <c r="A5" s="80" t="n">
        <v>0.044</v>
      </c>
      <c r="B5" s="81">
        <f>IFERROR((SUMPRODUCT('DCF - Modèle'!$B$45:$F$45,1/(1+$A5)^'DCF - Modèle'!$B$46:$F$46)+('DCF - Modèle'!$F$45*(1+B$3))/($A5-B$3)/(1+$A5)^'DCF - Modèle'!$F$46-'DCF - Modèle'!$B$11)/'DCF - Modèle'!$B$12,"n/a")</f>
        <v/>
      </c>
      <c r="C5" s="81">
        <f>IFERROR((SUMPRODUCT('DCF - Modèle'!$B$45:$F$45,1/(1+$A5)^'DCF - Modèle'!$B$46:$F$46)+('DCF - Modèle'!$F$45*(1+C$3))/($A5-C$3)/(1+$A5)^'DCF - Modèle'!$F$46-'DCF - Modèle'!$B$11)/'DCF - Modèle'!$B$12,"n/a")</f>
        <v/>
      </c>
      <c r="D5" s="81">
        <f>IFERROR((SUMPRODUCT('DCF - Modèle'!$B$45:$F$45,1/(1+$A5)^'DCF - Modèle'!$B$46:$F$46)+('DCF - Modèle'!$F$45*(1+D$3))/($A5-D$3)/(1+$A5)^'DCF - Modèle'!$F$46-'DCF - Modèle'!$B$11)/'DCF - Modèle'!$B$12,"n/a")</f>
        <v/>
      </c>
      <c r="E5" s="81">
        <f>IFERROR((SUMPRODUCT('DCF - Modèle'!$B$45:$F$45,1/(1+$A5)^'DCF - Modèle'!$B$46:$F$46)+('DCF - Modèle'!$F$45*(1+E$3))/($A5-E$3)/(1+$A5)^'DCF - Modèle'!$F$46-'DCF - Modèle'!$B$11)/'DCF - Modèle'!$B$12,"n/a")</f>
        <v/>
      </c>
      <c r="F5" s="81">
        <f>IFERROR((SUMPRODUCT('DCF - Modèle'!$B$45:$F$45,1/(1+$A5)^'DCF - Modèle'!$B$46:$F$46)+('DCF - Modèle'!$F$45*(1+F$3))/($A5-F$3)/(1+$A5)^'DCF - Modèle'!$F$46-'DCF - Modèle'!$B$11)/'DCF - Modèle'!$B$12,"n/a")</f>
        <v/>
      </c>
    </row>
    <row r="6">
      <c r="A6" s="80" t="n">
        <v>0.054</v>
      </c>
      <c r="B6" s="81">
        <f>IFERROR((SUMPRODUCT('DCF - Modèle'!$B$45:$F$45,1/(1+$A6)^'DCF - Modèle'!$B$46:$F$46)+('DCF - Modèle'!$F$45*(1+B$3))/($A6-B$3)/(1+$A6)^'DCF - Modèle'!$F$46-'DCF - Modèle'!$B$11)/'DCF - Modèle'!$B$12,"n/a")</f>
        <v/>
      </c>
      <c r="C6" s="81">
        <f>IFERROR((SUMPRODUCT('DCF - Modèle'!$B$45:$F$45,1/(1+$A6)^'DCF - Modèle'!$B$46:$F$46)+('DCF - Modèle'!$F$45*(1+C$3))/($A6-C$3)/(1+$A6)^'DCF - Modèle'!$F$46-'DCF - Modèle'!$B$11)/'DCF - Modèle'!$B$12,"n/a")</f>
        <v/>
      </c>
      <c r="D6" s="81">
        <f>IFERROR((SUMPRODUCT('DCF - Modèle'!$B$45:$F$45,1/(1+$A6)^'DCF - Modèle'!$B$46:$F$46)+('DCF - Modèle'!$F$45*(1+D$3))/($A6-D$3)/(1+$A6)^'DCF - Modèle'!$F$46-'DCF - Modèle'!$B$11)/'DCF - Modèle'!$B$12,"n/a")</f>
        <v/>
      </c>
      <c r="E6" s="81">
        <f>IFERROR((SUMPRODUCT('DCF - Modèle'!$B$45:$F$45,1/(1+$A6)^'DCF - Modèle'!$B$46:$F$46)+('DCF - Modèle'!$F$45*(1+E$3))/($A6-E$3)/(1+$A6)^'DCF - Modèle'!$F$46-'DCF - Modèle'!$B$11)/'DCF - Modèle'!$B$12,"n/a")</f>
        <v/>
      </c>
      <c r="F6" s="81">
        <f>IFERROR((SUMPRODUCT('DCF - Modèle'!$B$45:$F$45,1/(1+$A6)^'DCF - Modèle'!$B$46:$F$46)+('DCF - Modèle'!$F$45*(1+F$3))/($A6-F$3)/(1+$A6)^'DCF - Modèle'!$F$46-'DCF - Modèle'!$B$11)/'DCF - Modèle'!$B$12,"n/a")</f>
        <v/>
      </c>
    </row>
    <row r="7">
      <c r="A7" s="80" t="n">
        <v>0.064</v>
      </c>
      <c r="B7" s="81">
        <f>IFERROR((SUMPRODUCT('DCF - Modèle'!$B$45:$F$45,1/(1+$A7)^'DCF - Modèle'!$B$46:$F$46)+('DCF - Modèle'!$F$45*(1+B$3))/($A7-B$3)/(1+$A7)^'DCF - Modèle'!$F$46-'DCF - Modèle'!$B$11)/'DCF - Modèle'!$B$12,"n/a")</f>
        <v/>
      </c>
      <c r="C7" s="81">
        <f>IFERROR((SUMPRODUCT('DCF - Modèle'!$B$45:$F$45,1/(1+$A7)^'DCF - Modèle'!$B$46:$F$46)+('DCF - Modèle'!$F$45*(1+C$3))/($A7-C$3)/(1+$A7)^'DCF - Modèle'!$F$46-'DCF - Modèle'!$B$11)/'DCF - Modèle'!$B$12,"n/a")</f>
        <v/>
      </c>
      <c r="D7" s="81">
        <f>IFERROR((SUMPRODUCT('DCF - Modèle'!$B$45:$F$45,1/(1+$A7)^'DCF - Modèle'!$B$46:$F$46)+('DCF - Modèle'!$F$45*(1+D$3))/($A7-D$3)/(1+$A7)^'DCF - Modèle'!$F$46-'DCF - Modèle'!$B$11)/'DCF - Modèle'!$B$12,"n/a")</f>
        <v/>
      </c>
      <c r="E7" s="81">
        <f>IFERROR((SUMPRODUCT('DCF - Modèle'!$B$45:$F$45,1/(1+$A7)^'DCF - Modèle'!$B$46:$F$46)+('DCF - Modèle'!$F$45*(1+E$3))/($A7-E$3)/(1+$A7)^'DCF - Modèle'!$F$46-'DCF - Modèle'!$B$11)/'DCF - Modèle'!$B$12,"n/a")</f>
        <v/>
      </c>
      <c r="F7" s="81">
        <f>IFERROR((SUMPRODUCT('DCF - Modèle'!$B$45:$F$45,1/(1+$A7)^'DCF - Modèle'!$B$46:$F$46)+('DCF - Modèle'!$F$45*(1+F$3))/($A7-F$3)/(1+$A7)^'DCF - Modèle'!$F$46-'DCF - Modèle'!$B$11)/'DCF - Modèle'!$B$12,"n/a")</f>
        <v/>
      </c>
    </row>
    <row r="8">
      <c r="A8" s="80" t="n">
        <v>0.074</v>
      </c>
      <c r="B8" s="81">
        <f>IFERROR((SUMPRODUCT('DCF - Modèle'!$B$45:$F$45,1/(1+$A8)^'DCF - Modèle'!$B$46:$F$46)+('DCF - Modèle'!$F$45*(1+B$3))/($A8-B$3)/(1+$A8)^'DCF - Modèle'!$F$46-'DCF - Modèle'!$B$11)/'DCF - Modèle'!$B$12,"n/a")</f>
        <v/>
      </c>
      <c r="C8" s="81">
        <f>IFERROR((SUMPRODUCT('DCF - Modèle'!$B$45:$F$45,1/(1+$A8)^'DCF - Modèle'!$B$46:$F$46)+('DCF - Modèle'!$F$45*(1+C$3))/($A8-C$3)/(1+$A8)^'DCF - Modèle'!$F$46-'DCF - Modèle'!$B$11)/'DCF - Modèle'!$B$12,"n/a")</f>
        <v/>
      </c>
      <c r="D8" s="81">
        <f>IFERROR((SUMPRODUCT('DCF - Modèle'!$B$45:$F$45,1/(1+$A8)^'DCF - Modèle'!$B$46:$F$46)+('DCF - Modèle'!$F$45*(1+D$3))/($A8-D$3)/(1+$A8)^'DCF - Modèle'!$F$46-'DCF - Modèle'!$B$11)/'DCF - Modèle'!$B$12,"n/a")</f>
        <v/>
      </c>
      <c r="E8" s="81">
        <f>IFERROR((SUMPRODUCT('DCF - Modèle'!$B$45:$F$45,1/(1+$A8)^'DCF - Modèle'!$B$46:$F$46)+('DCF - Modèle'!$F$45*(1+E$3))/($A8-E$3)/(1+$A8)^'DCF - Modèle'!$F$46-'DCF - Modèle'!$B$11)/'DCF - Modèle'!$B$12,"n/a")</f>
        <v/>
      </c>
      <c r="F8" s="81">
        <f>IFERROR((SUMPRODUCT('DCF - Modèle'!$B$45:$F$45,1/(1+$A8)^'DCF - Modèle'!$B$46:$F$46)+('DCF - Modèle'!$F$45*(1+F$3))/($A8-F$3)/(1+$A8)^'DCF - Modèle'!$F$46-'DCF - Modèle'!$B$11)/'DCF - Modèle'!$B$12,"n/a")</f>
        <v/>
      </c>
    </row>
  </sheetData>
  <conditionalFormatting sqref="B4:F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33" customWidth="1" min="2" max="2"/>
    <col width="16" customWidth="1" min="3" max="3"/>
    <col width="15" customWidth="1" min="4" max="4"/>
    <col width="11" customWidth="1" min="5" max="5"/>
    <col width="11" customWidth="1" min="6" max="6"/>
    <col width="11" customWidth="1" min="7" max="7"/>
    <col width="10" customWidth="1" min="8" max="8"/>
  </cols>
  <sheetData>
    <row r="1">
      <c r="A1" s="1" t="inlineStr">
        <is>
          <t>Comparables boursiers</t>
        </is>
      </c>
    </row>
    <row r="2"/>
    <row r="3">
      <c r="A3" s="78" t="inlineStr">
        <is>
          <t>Ticker</t>
        </is>
      </c>
      <c r="B3" s="78" t="inlineStr">
        <is>
          <t>Nom</t>
        </is>
      </c>
      <c r="C3" s="78" t="inlineStr">
        <is>
          <t>Market Cap (M)</t>
        </is>
      </c>
      <c r="D3" s="78" t="inlineStr">
        <is>
          <t>EV (M)</t>
        </is>
      </c>
      <c r="E3" s="78" t="inlineStr">
        <is>
          <t>P/E</t>
        </is>
      </c>
      <c r="F3" s="78" t="inlineStr">
        <is>
          <t>Fwd P/E</t>
        </is>
      </c>
      <c r="G3" s="78" t="inlineStr">
        <is>
          <t>EV/EBITDA</t>
        </is>
      </c>
      <c r="H3" s="78" t="inlineStr">
        <is>
          <t>EV/Sales</t>
        </is>
      </c>
    </row>
    <row r="4">
      <c r="A4" s="82" t="inlineStr">
        <is>
          <t>YUM</t>
        </is>
      </c>
      <c r="B4" s="83" t="inlineStr">
        <is>
          <t>Yum! Brands, Inc.</t>
        </is>
      </c>
      <c r="C4" s="84" t="n">
        <v>37657.624576</v>
      </c>
      <c r="D4" s="84" t="n">
        <v>50388.619264</v>
      </c>
      <c r="E4" s="85" t="n">
        <v>17.40101</v>
      </c>
      <c r="F4" s="85" t="n">
        <v>19.723001</v>
      </c>
      <c r="G4" s="85" t="n">
        <v>16.424</v>
      </c>
      <c r="H4" s="85" t="n">
        <v>5.777</v>
      </c>
    </row>
    <row r="5">
      <c r="A5" s="82" t="inlineStr">
        <is>
          <t>QSR</t>
        </is>
      </c>
      <c r="B5" s="83" t="inlineStr">
        <is>
          <t>Restaurant Brands International</t>
        </is>
      </c>
      <c r="C5" s="84" t="n">
        <v>33387.126784</v>
      </c>
      <c r="D5" s="84" t="n">
        <v>41511.489536</v>
      </c>
      <c r="E5" s="85" t="n">
        <v>18.311558</v>
      </c>
      <c r="F5" s="85" t="n">
        <v>16.446196</v>
      </c>
      <c r="G5" s="85" t="n">
        <v>14.197</v>
      </c>
      <c r="H5" s="85" t="n">
        <v>4.28</v>
      </c>
    </row>
    <row r="6">
      <c r="A6" s="82" t="inlineStr">
        <is>
          <t>SBUX</t>
        </is>
      </c>
      <c r="B6" s="83" t="inlineStr">
        <is>
          <t>Starbucks Corporation</t>
        </is>
      </c>
      <c r="C6" s="84" t="n">
        <v>109246.201856</v>
      </c>
      <c r="D6" s="84" t="n">
        <v>128096.198656</v>
      </c>
      <c r="E6" s="85" t="n">
        <v>55.393063</v>
      </c>
      <c r="F6" s="85" t="n">
        <v>30.687695</v>
      </c>
      <c r="G6" s="85" t="n">
        <v>22.703</v>
      </c>
      <c r="H6" s="85" t="n">
        <v>3.341</v>
      </c>
    </row>
    <row r="7">
      <c r="A7" s="82" t="inlineStr">
        <is>
          <t>WEN</t>
        </is>
      </c>
      <c r="B7" s="83" t="inlineStr">
        <is>
          <t>Wendy's Company (The)</t>
        </is>
      </c>
      <c r="C7" s="84" t="n">
        <v>1285.115264</v>
      </c>
      <c r="D7" s="84" t="n">
        <v>5016.429568</v>
      </c>
      <c r="E7" s="85" t="n">
        <v>10.21212</v>
      </c>
      <c r="F7" s="85" t="n">
        <v>12.911877</v>
      </c>
      <c r="G7" s="85" t="n">
        <v>11.002</v>
      </c>
      <c r="H7" s="85" t="n">
        <v>2.276</v>
      </c>
    </row>
    <row r="8">
      <c r="A8" s="82" t="inlineStr">
        <is>
          <t>DPZ</t>
        </is>
      </c>
      <c r="B8" s="83" t="inlineStr">
        <is>
          <t>Domino's Pizza Inc</t>
        </is>
      </c>
      <c r="C8" s="84" t="n">
        <v>9732.646912</v>
      </c>
      <c r="D8" s="84" t="n">
        <v>14690.663424</v>
      </c>
      <c r="E8" s="85" t="n">
        <v>16.668556</v>
      </c>
      <c r="F8" s="85" t="n">
        <v>14.104143</v>
      </c>
      <c r="G8" s="85" t="n">
        <v>14.353</v>
      </c>
      <c r="H8" s="85" t="n">
        <v>2.922</v>
      </c>
    </row>
    <row r="9">
      <c r="A9" s="82" t="inlineStr">
        <is>
          <t>CMG</t>
        </is>
      </c>
      <c r="B9" s="83" t="inlineStr">
        <is>
          <t>Chipotle Mexican Grill, Inc.</t>
        </is>
      </c>
      <c r="C9" s="84" t="n">
        <v>42302.922752</v>
      </c>
      <c r="D9" s="84" t="n">
        <v>47044.263936</v>
      </c>
      <c r="E9" s="85" t="n">
        <v>30.953703</v>
      </c>
      <c r="F9" s="85" t="n">
        <v>24.398611</v>
      </c>
      <c r="G9" s="85" t="n">
        <v>20.679</v>
      </c>
      <c r="H9" s="85" t="n">
        <v>3.787</v>
      </c>
    </row>
    <row r="10">
      <c r="A10" s="82" t="inlineStr">
        <is>
          <t>DRI</t>
        </is>
      </c>
      <c r="B10" s="83" t="inlineStr">
        <is>
          <t>Darden Restaurants, Inc.</t>
        </is>
      </c>
      <c r="C10" s="84" t="n">
        <v>23762.020352</v>
      </c>
      <c r="D10" s="84" t="n">
        <v>31701.23776</v>
      </c>
      <c r="E10" s="85" t="n">
        <v>20.045979</v>
      </c>
      <c r="F10" s="85" t="n">
        <v>16.881163</v>
      </c>
      <c r="G10" s="85" t="n">
        <v>14.989</v>
      </c>
      <c r="H10" s="85" t="n">
        <v>2.4</v>
      </c>
    </row>
    <row r="11"/>
    <row r="12">
      <c r="A12" s="2" t="inlineStr">
        <is>
          <t>Source : yfinance, données de marché à la date d'exécution du script.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29" customWidth="1" min="4" max="4"/>
  </cols>
  <sheetData>
    <row r="1">
      <c r="A1" s="1" t="inlineStr">
        <is>
          <t>Valorisation par comparables</t>
        </is>
      </c>
    </row>
    <row r="2"/>
    <row r="3">
      <c r="A3" s="86" t="inlineStr">
        <is>
          <t>Métriques de la cible (M)</t>
        </is>
      </c>
    </row>
    <row r="4">
      <c r="A4" s="83" t="inlineStr">
        <is>
          <t>Revenue (M)</t>
        </is>
      </c>
      <c r="B4" s="87" t="n">
        <v>26885</v>
      </c>
    </row>
    <row r="5">
      <c r="A5" s="83" t="inlineStr">
        <is>
          <t>EBITDA (M)</t>
        </is>
      </c>
      <c r="B5" s="87" t="n">
        <v>14678</v>
      </c>
    </row>
    <row r="6">
      <c r="A6" s="83" t="inlineStr">
        <is>
          <t>Net income (M)</t>
        </is>
      </c>
      <c r="B6" s="87" t="n">
        <v>8563</v>
      </c>
    </row>
    <row r="7"/>
    <row r="8">
      <c r="A8" s="83" t="inlineStr">
        <is>
          <t>Dette nette (M)</t>
        </is>
      </c>
      <c r="B8" s="88">
        <f>'DCF - Modèle'!$B$11</f>
        <v/>
      </c>
    </row>
    <row r="9">
      <c r="A9" s="83" t="inlineStr">
        <is>
          <t>Actions en circulation (M)</t>
        </is>
      </c>
      <c r="B9" s="89">
        <f>'DCF - Modèle'!$B$12</f>
        <v/>
      </c>
    </row>
    <row r="10"/>
    <row r="11"/>
    <row r="12">
      <c r="A12" s="78" t="inlineStr">
        <is>
          <t>Méthode</t>
        </is>
      </c>
      <c r="B12" s="78" t="inlineStr">
        <is>
          <t>Multiple médian peers</t>
        </is>
      </c>
      <c r="C12" s="78" t="inlineStr">
        <is>
          <t>Valeur implicite (M)</t>
        </is>
      </c>
      <c r="D12" s="78" t="inlineStr">
        <is>
          <t>Valeur par action implicite</t>
        </is>
      </c>
    </row>
    <row r="13">
      <c r="A13" s="82" t="inlineStr">
        <is>
          <t>EV/EBITDA</t>
        </is>
      </c>
      <c r="B13" s="85">
        <f>MEDIAN('Comps - Peers'!G:G)</f>
        <v/>
      </c>
      <c r="C13" s="84">
        <f>B13*$B$5</f>
        <v/>
      </c>
      <c r="D13" s="81">
        <f>(C13-$B$8)/$B$9</f>
        <v/>
      </c>
    </row>
    <row r="14">
      <c r="A14" s="82" t="inlineStr">
        <is>
          <t>EV/Sales</t>
        </is>
      </c>
      <c r="B14" s="85">
        <f>MEDIAN('Comps - Peers'!H:H)</f>
        <v/>
      </c>
      <c r="C14" s="84">
        <f>B14*$B$4</f>
        <v/>
      </c>
      <c r="D14" s="81">
        <f>(C14-$B$8)/$B$9</f>
        <v/>
      </c>
    </row>
    <row r="15">
      <c r="A15" s="82" t="inlineStr">
        <is>
          <t>P/E</t>
        </is>
      </c>
      <c r="B15" s="85">
        <f>MEDIAN('Comps - Peers'!E:E)</f>
        <v/>
      </c>
      <c r="C15" s="84">
        <f>B15*$B$6</f>
        <v/>
      </c>
      <c r="D15" s="81">
        <f>C15/$B$9</f>
        <v/>
      </c>
    </row>
    <row r="16">
      <c r="A16" s="82" t="inlineStr">
        <is>
          <t>Moyenne des méthodes</t>
        </is>
      </c>
      <c r="D16" s="90">
        <f>AVERAGE(D13:D15)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0" customWidth="1" min="3" max="3"/>
    <col width="19" customWidth="1" min="4" max="4"/>
  </cols>
  <sheetData>
    <row r="1">
      <c r="A1" s="1" t="inlineStr">
        <is>
          <t>Football Field — Fourchettes de valorisation</t>
        </is>
      </c>
    </row>
    <row r="2">
      <c r="A2" s="2" t="inlineStr">
        <is>
          <t>Snapshot calculé à la génération du script à partir des scénarios Bear/Bull du DCF, du min-max des comparables et du range 52 semaines.</t>
        </is>
      </c>
    </row>
    <row r="3"/>
    <row r="4">
      <c r="A4" s="78" t="inlineStr">
        <is>
          <t>Méthode</t>
        </is>
      </c>
      <c r="B4" s="78" t="inlineStr">
        <is>
          <t>Low</t>
        </is>
      </c>
      <c r="C4" s="78" t="inlineStr">
        <is>
          <t>Range</t>
        </is>
      </c>
      <c r="D4" s="78" t="inlineStr">
        <is>
          <t>High</t>
        </is>
      </c>
    </row>
    <row r="5">
      <c r="A5" s="82" t="inlineStr">
        <is>
          <t>DCF (Bear-Bull)</t>
        </is>
      </c>
      <c r="B5" s="81" t="n">
        <v>170.5894548362293</v>
      </c>
      <c r="C5" s="81">
        <f>D5-B5</f>
        <v/>
      </c>
      <c r="D5" s="81" t="n">
        <v>469.2505907907117</v>
      </c>
    </row>
    <row r="6">
      <c r="A6" s="82" t="inlineStr">
        <is>
          <t>Comparables (min-max)</t>
        </is>
      </c>
      <c r="B6" s="81" t="n">
        <v>50.56625755009353</v>
      </c>
      <c r="C6" s="81">
        <f>D6-B6</f>
        <v/>
      </c>
      <c r="D6" s="81" t="n">
        <v>234.5375867190191</v>
      </c>
    </row>
    <row r="7">
      <c r="A7" s="82" t="inlineStr">
        <is>
          <t>52 semaines (marché)</t>
        </is>
      </c>
      <c r="B7" s="81" t="n">
        <v>247.65</v>
      </c>
      <c r="C7" s="81">
        <f>D7-B7</f>
        <v/>
      </c>
      <c r="D7" s="81" t="n">
        <v>341.75</v>
      </c>
    </row>
    <row r="8">
      <c r="A8" s="82" t="inlineStr">
        <is>
          <t>Prix de marché actuel</t>
        </is>
      </c>
      <c r="B8" s="81" t="n">
        <v>246.9988</v>
      </c>
      <c r="C8" s="81">
        <f>D8-B8</f>
        <v/>
      </c>
      <c r="D8" s="81" t="n">
        <v>249.4812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Compte de résultat — en millions USD</t>
        </is>
      </c>
    </row>
    <row r="2"/>
    <row r="3">
      <c r="A3" s="78" t="inlineStr">
        <is>
          <t>Poste</t>
        </is>
      </c>
      <c r="B3" s="78" t="inlineStr">
        <is>
          <t>2022</t>
        </is>
      </c>
      <c r="C3" s="78" t="inlineStr">
        <is>
          <t>2023</t>
        </is>
      </c>
      <c r="D3" s="78" t="inlineStr">
        <is>
          <t>2024</t>
        </is>
      </c>
      <c r="E3" s="78" t="inlineStr">
        <is>
          <t>2025</t>
        </is>
      </c>
    </row>
    <row r="4">
      <c r="A4" s="82" t="inlineStr">
        <is>
          <t>Tax Effect Of Unusual Items</t>
        </is>
      </c>
      <c r="B4" s="91" t="n">
        <v>-201.083</v>
      </c>
      <c r="C4" s="91" t="n">
        <v>-45.435</v>
      </c>
      <c r="D4" s="91" t="n">
        <v>-62.123054615756</v>
      </c>
      <c r="E4" s="91" t="n">
        <v>-49.905662108837</v>
      </c>
    </row>
    <row r="5">
      <c r="A5" s="82" t="inlineStr">
        <is>
          <t>Tax Rate For Calcs</t>
        </is>
      </c>
      <c r="B5" s="91" t="n">
        <v>2.11e-07</v>
      </c>
      <c r="C5" s="91" t="n">
        <v>1.95e-07</v>
      </c>
      <c r="D5" s="91" t="n">
        <v>2.05027e-07</v>
      </c>
      <c r="E5" s="91" t="n">
        <v>2.14187e-07</v>
      </c>
    </row>
    <row r="6">
      <c r="A6" s="82" t="inlineStr">
        <is>
          <t>Normalized EBITDA</t>
        </is>
      </c>
      <c r="B6" s="91" t="n">
        <v>11856</v>
      </c>
      <c r="C6" s="91" t="n">
        <v>14094</v>
      </c>
      <c r="D6" s="91" t="n">
        <v>14251</v>
      </c>
      <c r="E6" s="91" t="n">
        <v>14911</v>
      </c>
    </row>
    <row r="7">
      <c r="A7" s="82" t="inlineStr">
        <is>
          <t>Total Unusual Items</t>
        </is>
      </c>
      <c r="B7" s="91" t="n">
        <v>-953</v>
      </c>
      <c r="C7" s="91" t="n">
        <v>-233</v>
      </c>
      <c r="D7" s="91" t="n">
        <v>-303</v>
      </c>
      <c r="E7" s="91" t="n">
        <v>-233</v>
      </c>
    </row>
    <row r="8">
      <c r="A8" s="82" t="inlineStr">
        <is>
          <t>Total Unusual Items Excluding Goodwill</t>
        </is>
      </c>
      <c r="B8" s="91" t="n">
        <v>-953</v>
      </c>
      <c r="C8" s="91" t="n">
        <v>-233</v>
      </c>
      <c r="D8" s="91" t="n">
        <v>-303</v>
      </c>
      <c r="E8" s="91" t="n">
        <v>-233</v>
      </c>
    </row>
    <row r="9">
      <c r="A9" s="82" t="inlineStr">
        <is>
          <t>Net Income From Continuing Operation Net Minority Interest</t>
        </is>
      </c>
      <c r="B9" s="91" t="n">
        <v>6177</v>
      </c>
      <c r="C9" s="91" t="n">
        <v>8469</v>
      </c>
      <c r="D9" s="91" t="n">
        <v>8223</v>
      </c>
      <c r="E9" s="91" t="n">
        <v>8563</v>
      </c>
    </row>
    <row r="10">
      <c r="A10" s="82" t="inlineStr">
        <is>
          <t>Reconciled Depreciation</t>
        </is>
      </c>
      <c r="B10" s="91" t="n">
        <v>1871</v>
      </c>
      <c r="C10" s="91" t="n">
        <v>1978</v>
      </c>
      <c r="D10" s="91" t="n">
        <v>2097</v>
      </c>
      <c r="E10" s="91" t="n">
        <v>2199</v>
      </c>
    </row>
    <row r="11">
      <c r="A11" s="82" t="inlineStr">
        <is>
          <t>Reconciled Cost Of Revenue</t>
        </is>
      </c>
      <c r="B11" s="91" t="n">
        <v>8474</v>
      </c>
      <c r="C11" s="91" t="n">
        <v>9335</v>
      </c>
      <c r="D11" s="91" t="n">
        <v>9560</v>
      </c>
      <c r="E11" s="91" t="n">
        <v>9709</v>
      </c>
    </row>
    <row r="12">
      <c r="A12" s="82" t="inlineStr">
        <is>
          <t>EBITDA</t>
        </is>
      </c>
      <c r="B12" s="91" t="n">
        <v>10903</v>
      </c>
      <c r="C12" s="91" t="n">
        <v>13861</v>
      </c>
      <c r="D12" s="91" t="n">
        <v>13948</v>
      </c>
      <c r="E12" s="91" t="n">
        <v>14678</v>
      </c>
    </row>
    <row r="13">
      <c r="A13" s="82" t="inlineStr">
        <is>
          <t>EBIT</t>
        </is>
      </c>
      <c r="B13" s="91" t="n">
        <v>9032</v>
      </c>
      <c r="C13" s="91" t="n">
        <v>11883</v>
      </c>
      <c r="D13" s="91" t="n">
        <v>11851</v>
      </c>
      <c r="E13" s="91" t="n">
        <v>12479</v>
      </c>
    </row>
    <row r="14">
      <c r="A14" s="82" t="inlineStr">
        <is>
          <t>Net Interest Income</t>
        </is>
      </c>
      <c r="B14" s="91" t="n">
        <v>-1163</v>
      </c>
      <c r="C14" s="91" t="n">
        <v>-1174</v>
      </c>
      <c r="D14" s="91" t="n">
        <v>-1403</v>
      </c>
      <c r="E14" s="91" t="n">
        <v>-1500</v>
      </c>
    </row>
    <row r="15">
      <c r="A15" s="82" t="inlineStr">
        <is>
          <t>Interest Expense</t>
        </is>
      </c>
      <c r="B15" s="91" t="n">
        <v>1207</v>
      </c>
      <c r="C15" s="91" t="n">
        <v>1361</v>
      </c>
      <c r="D15" s="91" t="n">
        <v>1506</v>
      </c>
      <c r="E15" s="91" t="n">
        <v>1582</v>
      </c>
    </row>
    <row r="16">
      <c r="A16" s="82" t="inlineStr">
        <is>
          <t>Interest Income</t>
        </is>
      </c>
      <c r="B16" s="91" t="n">
        <v>44</v>
      </c>
      <c r="C16" s="91" t="n">
        <v>187</v>
      </c>
      <c r="D16" s="91" t="n">
        <v>103</v>
      </c>
      <c r="E16" s="91" t="n">
        <v>82</v>
      </c>
    </row>
    <row r="17">
      <c r="A17" s="82" t="inlineStr">
        <is>
          <t>Normalized Income</t>
        </is>
      </c>
      <c r="B17" s="91" t="n">
        <v>6928.917</v>
      </c>
      <c r="C17" s="91" t="n">
        <v>8656.565000000001</v>
      </c>
      <c r="D17" s="91" t="n">
        <v>8463.876945384243</v>
      </c>
      <c r="E17" s="91" t="n">
        <v>8746.094337891163</v>
      </c>
    </row>
    <row r="18">
      <c r="A18" s="82" t="inlineStr">
        <is>
          <t>Net Income From Continuing And Discontinued Operation</t>
        </is>
      </c>
      <c r="B18" s="91" t="n">
        <v>6177</v>
      </c>
      <c r="C18" s="91" t="n">
        <v>8469</v>
      </c>
      <c r="D18" s="91" t="n">
        <v>8223</v>
      </c>
      <c r="E18" s="91" t="n">
        <v>8563</v>
      </c>
    </row>
    <row r="19">
      <c r="A19" s="82" t="inlineStr">
        <is>
          <t>Total Expenses</t>
        </is>
      </c>
      <c r="B19" s="91" t="n">
        <v>12837</v>
      </c>
      <c r="C19" s="91" t="n">
        <v>13748</v>
      </c>
      <c r="D19" s="91" t="n">
        <v>14069</v>
      </c>
      <c r="E19" s="91" t="n">
        <v>14491</v>
      </c>
    </row>
    <row r="20">
      <c r="A20" s="82" t="inlineStr">
        <is>
          <t>Rent Expense Supplemental</t>
        </is>
      </c>
      <c r="B20" s="91" t="n">
        <v>4376</v>
      </c>
      <c r="C20" s="91" t="n">
        <v>4774</v>
      </c>
      <c r="D20" s="91" t="n">
        <v>4917</v>
      </c>
      <c r="E20" s="91" t="n">
        <v>4976</v>
      </c>
    </row>
    <row r="21">
      <c r="A21" s="82" t="inlineStr">
        <is>
          <t>Total Operating Income As Reported</t>
        </is>
      </c>
      <c r="B21" s="91" t="n">
        <v>9371</v>
      </c>
      <c r="C21" s="91" t="n">
        <v>11647</v>
      </c>
      <c r="D21" s="91" t="n">
        <v>11712</v>
      </c>
      <c r="E21" s="91" t="n">
        <v>12393</v>
      </c>
    </row>
    <row r="22">
      <c r="A22" s="82" t="inlineStr">
        <is>
          <t>Diluted Average Shares</t>
        </is>
      </c>
      <c r="B22" s="91" t="n">
        <v>741.3</v>
      </c>
      <c r="C22" s="91" t="n">
        <v>732.3</v>
      </c>
      <c r="D22" s="91" t="n">
        <v>721.9</v>
      </c>
      <c r="E22" s="91" t="n">
        <v>716.4</v>
      </c>
    </row>
    <row r="23">
      <c r="A23" s="82" t="inlineStr">
        <is>
          <t>Basic Average Shares</t>
        </is>
      </c>
      <c r="B23" s="91" t="n">
        <v>731.3</v>
      </c>
      <c r="C23" s="91" t="n">
        <v>722.7</v>
      </c>
      <c r="D23" s="91" t="n">
        <v>715.2</v>
      </c>
      <c r="E23" s="91" t="n">
        <v>710.6</v>
      </c>
    </row>
    <row r="24">
      <c r="A24" s="82" t="inlineStr">
        <is>
          <t>Diluted EPS</t>
        </is>
      </c>
      <c r="B24" s="91" t="n">
        <v>8.33e-06</v>
      </c>
      <c r="C24" s="91" t="n">
        <v>1.156e-05</v>
      </c>
      <c r="D24" s="91" t="n">
        <v>1.139e-05</v>
      </c>
      <c r="E24" s="91" t="n">
        <v>1.195e-05</v>
      </c>
    </row>
    <row r="25">
      <c r="A25" s="82" t="inlineStr">
        <is>
          <t>Basic EPS</t>
        </is>
      </c>
      <c r="B25" s="91" t="n">
        <v>8.447149e-06</v>
      </c>
      <c r="C25" s="91" t="n">
        <v>1.1718279e-05</v>
      </c>
      <c r="D25" s="91" t="n">
        <v>1.1497483e-05</v>
      </c>
      <c r="E25" s="91" t="n">
        <v>1.205038e-05</v>
      </c>
    </row>
    <row r="26">
      <c r="A26" s="82" t="inlineStr">
        <is>
          <t>Diluted NI Availto Com Stockholders</t>
        </is>
      </c>
      <c r="B26" s="91" t="n">
        <v>6177</v>
      </c>
      <c r="C26" s="91" t="n">
        <v>8469</v>
      </c>
      <c r="D26" s="91" t="n">
        <v>8223</v>
      </c>
      <c r="E26" s="91" t="n">
        <v>8563</v>
      </c>
    </row>
    <row r="27">
      <c r="A27" s="82" t="inlineStr">
        <is>
          <t>Net Income Common Stockholders</t>
        </is>
      </c>
      <c r="B27" s="91" t="n">
        <v>6177</v>
      </c>
      <c r="C27" s="91" t="n">
        <v>8469</v>
      </c>
      <c r="D27" s="91" t="n">
        <v>8223</v>
      </c>
      <c r="E27" s="91" t="n">
        <v>8563</v>
      </c>
    </row>
    <row r="28">
      <c r="A28" s="82" t="inlineStr">
        <is>
          <t>Net Income</t>
        </is>
      </c>
      <c r="B28" s="91" t="n">
        <v>6177</v>
      </c>
      <c r="C28" s="91" t="n">
        <v>8469</v>
      </c>
      <c r="D28" s="91" t="n">
        <v>8223</v>
      </c>
      <c r="E28" s="91" t="n">
        <v>8563</v>
      </c>
    </row>
    <row r="29">
      <c r="A29" s="82" t="inlineStr">
        <is>
          <t>Net Income Including Noncontrolling Interests</t>
        </is>
      </c>
      <c r="B29" s="91" t="n">
        <v>6177</v>
      </c>
      <c r="C29" s="91" t="n">
        <v>8469</v>
      </c>
      <c r="D29" s="91" t="n">
        <v>8224</v>
      </c>
      <c r="E29" s="91" t="n">
        <v>8563</v>
      </c>
    </row>
    <row r="30">
      <c r="A30" s="82" t="inlineStr">
        <is>
          <t>Net Income Continuous Operations</t>
        </is>
      </c>
      <c r="B30" s="91" t="n">
        <v>6177</v>
      </c>
      <c r="C30" s="91" t="n">
        <v>8469</v>
      </c>
      <c r="D30" s="91" t="n">
        <v>8224</v>
      </c>
      <c r="E30" s="91" t="n">
        <v>8563</v>
      </c>
    </row>
    <row r="31">
      <c r="A31" s="82" t="inlineStr">
        <is>
          <t>Tax Provision</t>
        </is>
      </c>
      <c r="B31" s="91" t="n">
        <v>1648</v>
      </c>
      <c r="C31" s="91" t="n">
        <v>2053</v>
      </c>
      <c r="D31" s="91" t="n">
        <v>2121</v>
      </c>
      <c r="E31" s="91" t="n">
        <v>2334</v>
      </c>
    </row>
    <row r="32">
      <c r="A32" s="82" t="inlineStr">
        <is>
          <t>Pretax Income</t>
        </is>
      </c>
      <c r="B32" s="91" t="n">
        <v>7825</v>
      </c>
      <c r="C32" s="91" t="n">
        <v>10522</v>
      </c>
      <c r="D32" s="91" t="n">
        <v>10345</v>
      </c>
      <c r="E32" s="91" t="n">
        <v>10897</v>
      </c>
    </row>
    <row r="33">
      <c r="A33" s="82" t="inlineStr">
        <is>
          <t>Other Income Expense</t>
        </is>
      </c>
      <c r="B33" s="91" t="n">
        <v>-1357</v>
      </c>
      <c r="C33" s="91" t="n">
        <v>-49</v>
      </c>
      <c r="D33" s="91" t="n">
        <v>-104</v>
      </c>
      <c r="E33" s="91" t="n">
        <v>2</v>
      </c>
    </row>
    <row r="34">
      <c r="A34" s="82" t="inlineStr">
        <is>
          <t>Other Non Operating Income Expenses</t>
        </is>
      </c>
      <c r="B34" s="91" t="n">
        <v>-517</v>
      </c>
      <c r="C34" s="91" t="n">
        <v>31</v>
      </c>
      <c r="D34" s="91" t="n">
        <v>42</v>
      </c>
      <c r="E34" s="91" t="n">
        <v>45</v>
      </c>
    </row>
    <row r="35">
      <c r="A35" s="82" t="inlineStr">
        <is>
          <t>Special Income Charges</t>
        </is>
      </c>
      <c r="B35" s="91" t="n">
        <v>-1087</v>
      </c>
      <c r="C35" s="91" t="n">
        <v>-252</v>
      </c>
      <c r="D35" s="91" t="n">
        <v>-297</v>
      </c>
      <c r="E35" s="91" t="n">
        <v>-193</v>
      </c>
    </row>
    <row r="36">
      <c r="A36" s="82" t="inlineStr">
        <is>
          <t>Gain On Sale Of Ppe</t>
        </is>
      </c>
      <c r="B36" s="91" t="n">
        <v>-137</v>
      </c>
      <c r="C36" s="91" t="n">
        <v>7</v>
      </c>
      <c r="D36" s="91" t="n">
        <v>-100</v>
      </c>
      <c r="E36" s="91" t="n">
        <v>-97</v>
      </c>
    </row>
    <row r="37">
      <c r="A37" s="82" t="inlineStr">
        <is>
          <t>Gain On Sale Of Business</t>
        </is>
      </c>
      <c r="B37" s="91" t="n">
        <v>60</v>
      </c>
      <c r="C37" s="91" t="n">
        <v>103</v>
      </c>
      <c r="D37" s="91" t="n">
        <v>94</v>
      </c>
      <c r="E37" s="91" t="n">
        <v>133</v>
      </c>
    </row>
    <row r="38">
      <c r="A38" s="82" t="inlineStr">
        <is>
          <t>Write Off</t>
        </is>
      </c>
      <c r="B38" s="91" t="n">
        <v>1010</v>
      </c>
      <c r="C38" s="91" t="n">
        <v>362</v>
      </c>
      <c r="D38" s="91" t="n">
        <v>291</v>
      </c>
      <c r="E38" s="91" t="n">
        <v>229</v>
      </c>
    </row>
    <row r="39">
      <c r="A39" s="82" t="inlineStr">
        <is>
          <t>Restructuring And Mergern Acquisition</t>
        </is>
      </c>
      <c r="B39" s="91" t="n"/>
      <c r="C39" s="91" t="n"/>
      <c r="D39" s="91" t="n">
        <v>221</v>
      </c>
      <c r="E39" s="91" t="n"/>
    </row>
    <row r="40">
      <c r="A40" s="82" t="inlineStr">
        <is>
          <t>Earnings From Equity Interest</t>
        </is>
      </c>
      <c r="B40" s="91" t="n">
        <v>113</v>
      </c>
      <c r="C40" s="91" t="n">
        <v>153</v>
      </c>
      <c r="D40" s="91" t="n">
        <v>157</v>
      </c>
      <c r="E40" s="91" t="n">
        <v>190</v>
      </c>
    </row>
    <row r="41">
      <c r="A41" s="82" t="inlineStr">
        <is>
          <t>Gain On Sale Of Security</t>
        </is>
      </c>
      <c r="B41" s="91" t="n">
        <v>134</v>
      </c>
      <c r="C41" s="91" t="n">
        <v>19</v>
      </c>
      <c r="D41" s="91" t="n">
        <v>-6</v>
      </c>
      <c r="E41" s="91" t="n">
        <v>-40</v>
      </c>
    </row>
    <row r="42">
      <c r="A42" s="82" t="inlineStr">
        <is>
          <t>Net Non Operating Interest Income Expense</t>
        </is>
      </c>
      <c r="B42" s="91" t="n">
        <v>-1163</v>
      </c>
      <c r="C42" s="91" t="n">
        <v>-1174</v>
      </c>
      <c r="D42" s="91" t="n">
        <v>-1403</v>
      </c>
      <c r="E42" s="91" t="n">
        <v>-1500</v>
      </c>
    </row>
    <row r="43">
      <c r="A43" s="82" t="inlineStr">
        <is>
          <t>Interest Expense Non Operating</t>
        </is>
      </c>
      <c r="B43" s="91" t="n">
        <v>1207</v>
      </c>
      <c r="C43" s="91" t="n">
        <v>1361</v>
      </c>
      <c r="D43" s="91" t="n">
        <v>1506</v>
      </c>
      <c r="E43" s="91" t="n">
        <v>1582</v>
      </c>
    </row>
    <row r="44">
      <c r="A44" s="82" t="inlineStr">
        <is>
          <t>Interest Income Non Operating</t>
        </is>
      </c>
      <c r="B44" s="91" t="n">
        <v>44</v>
      </c>
      <c r="C44" s="91" t="n">
        <v>187</v>
      </c>
      <c r="D44" s="91" t="n">
        <v>103</v>
      </c>
      <c r="E44" s="91" t="n">
        <v>82</v>
      </c>
    </row>
    <row r="45">
      <c r="A45" s="82" t="inlineStr">
        <is>
          <t>Operating Income</t>
        </is>
      </c>
      <c r="B45" s="91" t="n">
        <v>10345</v>
      </c>
      <c r="C45" s="91" t="n">
        <v>11747</v>
      </c>
      <c r="D45" s="91" t="n">
        <v>11851</v>
      </c>
      <c r="E45" s="91" t="n">
        <v>12394</v>
      </c>
    </row>
    <row r="46">
      <c r="A46" s="82" t="inlineStr">
        <is>
          <t>Operating Expense</t>
        </is>
      </c>
      <c r="B46" s="91" t="n">
        <v>2862</v>
      </c>
      <c r="C46" s="91" t="n">
        <v>2817</v>
      </c>
      <c r="D46" s="91" t="n">
        <v>2859</v>
      </c>
      <c r="E46" s="91" t="n">
        <v>3040</v>
      </c>
    </row>
    <row r="47">
      <c r="A47" s="82" t="inlineStr">
        <is>
          <t>Depreciation Amortization Depletion Income Statement</t>
        </is>
      </c>
      <c r="B47" s="91" t="n">
        <v>370</v>
      </c>
      <c r="C47" s="91" t="n">
        <v>382</v>
      </c>
      <c r="D47" s="91" t="n">
        <v>447</v>
      </c>
      <c r="E47" s="91" t="n">
        <v>457</v>
      </c>
    </row>
    <row r="48">
      <c r="A48" s="82" t="inlineStr">
        <is>
          <t>Depreciation And Amortization In Income Statement</t>
        </is>
      </c>
      <c r="B48" s="91" t="n">
        <v>370</v>
      </c>
      <c r="C48" s="91" t="n">
        <v>382</v>
      </c>
      <c r="D48" s="91" t="n">
        <v>447</v>
      </c>
      <c r="E48" s="91" t="n">
        <v>457</v>
      </c>
    </row>
    <row r="49">
      <c r="A49" s="82" t="inlineStr">
        <is>
          <t>Selling General And Administration</t>
        </is>
      </c>
      <c r="B49" s="91" t="n">
        <v>2492</v>
      </c>
      <c r="C49" s="91" t="n">
        <v>2435</v>
      </c>
      <c r="D49" s="91" t="n">
        <v>2412</v>
      </c>
      <c r="E49" s="91" t="n">
        <v>2583</v>
      </c>
    </row>
    <row r="50">
      <c r="A50" s="82" t="inlineStr">
        <is>
          <t>Gross Profit</t>
        </is>
      </c>
      <c r="B50" s="91" t="n">
        <v>13207</v>
      </c>
      <c r="C50" s="91" t="n">
        <v>14564</v>
      </c>
      <c r="D50" s="91" t="n">
        <v>14710</v>
      </c>
      <c r="E50" s="91" t="n">
        <v>15434</v>
      </c>
    </row>
    <row r="51">
      <c r="A51" s="82" t="inlineStr">
        <is>
          <t>Cost Of Revenue</t>
        </is>
      </c>
      <c r="B51" s="91" t="n">
        <v>9975</v>
      </c>
      <c r="C51" s="91" t="n">
        <v>10931</v>
      </c>
      <c r="D51" s="91" t="n">
        <v>11210</v>
      </c>
      <c r="E51" s="91" t="n">
        <v>11451</v>
      </c>
    </row>
    <row r="52">
      <c r="A52" s="82" t="inlineStr">
        <is>
          <t>Total Revenue</t>
        </is>
      </c>
      <c r="B52" s="91" t="n">
        <v>23182</v>
      </c>
      <c r="C52" s="91" t="n">
        <v>25495</v>
      </c>
      <c r="D52" s="91" t="n">
        <v>25920</v>
      </c>
      <c r="E52" s="91" t="n">
        <v>26885</v>
      </c>
    </row>
    <row r="53">
      <c r="A53" s="82" t="inlineStr">
        <is>
          <t>Operating Revenue</t>
        </is>
      </c>
      <c r="B53" s="91" t="n">
        <v>22854</v>
      </c>
      <c r="C53" s="91" t="n">
        <v>25179</v>
      </c>
      <c r="D53" s="91" t="n">
        <v>25497</v>
      </c>
      <c r="E53" s="91" t="n">
        <v>26238</v>
      </c>
    </row>
    <row r="54"/>
    <row r="55">
      <c r="A55" s="2" t="inlineStr">
        <is>
          <t>Source : yfinance — à recouper avec les états financiers officiels (10-K / 20-F / document d'enregistrement universel).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Bilan — en millions USD</t>
        </is>
      </c>
    </row>
    <row r="2"/>
    <row r="3">
      <c r="A3" s="78" t="inlineStr">
        <is>
          <t>Poste</t>
        </is>
      </c>
      <c r="B3" s="78" t="inlineStr">
        <is>
          <t>2021</t>
        </is>
      </c>
      <c r="C3" s="78" t="inlineStr">
        <is>
          <t>2022</t>
        </is>
      </c>
      <c r="D3" s="78" t="inlineStr">
        <is>
          <t>2023</t>
        </is>
      </c>
      <c r="E3" s="78" t="inlineStr">
        <is>
          <t>2024</t>
        </is>
      </c>
      <c r="F3" s="78" t="inlineStr">
        <is>
          <t>2025</t>
        </is>
      </c>
    </row>
    <row r="4">
      <c r="A4" s="82" t="inlineStr">
        <is>
          <t>Treasury Shares Number</t>
        </is>
      </c>
      <c r="B4" s="91" t="n"/>
      <c r="C4" s="91" t="n">
        <v>929.3</v>
      </c>
      <c r="D4" s="91" t="n">
        <v>937.9</v>
      </c>
      <c r="E4" s="91" t="n">
        <v>945.4</v>
      </c>
      <c r="F4" s="91" t="n">
        <v>950</v>
      </c>
    </row>
    <row r="5">
      <c r="A5" s="82" t="inlineStr">
        <is>
          <t>Ordinary Shares Number</t>
        </is>
      </c>
      <c r="B5" s="91" t="n"/>
      <c r="C5" s="91" t="n">
        <v>731.3</v>
      </c>
      <c r="D5" s="91" t="n">
        <v>722.7</v>
      </c>
      <c r="E5" s="91" t="n">
        <v>715.2</v>
      </c>
      <c r="F5" s="91" t="n">
        <v>710.6</v>
      </c>
    </row>
    <row r="6">
      <c r="A6" s="82" t="inlineStr">
        <is>
          <t>Share Issued</t>
        </is>
      </c>
      <c r="B6" s="91" t="n"/>
      <c r="C6" s="91" t="n">
        <v>1660.6</v>
      </c>
      <c r="D6" s="91" t="n">
        <v>1660.6</v>
      </c>
      <c r="E6" s="91" t="n">
        <v>1660.6</v>
      </c>
      <c r="F6" s="91" t="n">
        <v>1660.6</v>
      </c>
    </row>
    <row r="7">
      <c r="A7" s="82" t="inlineStr">
        <is>
          <t>Net Debt</t>
        </is>
      </c>
      <c r="B7" s="91" t="n"/>
      <c r="C7" s="91" t="n">
        <v>33319.7</v>
      </c>
      <c r="D7" s="91" t="n">
        <v>34766</v>
      </c>
      <c r="E7" s="91" t="n">
        <v>37339</v>
      </c>
      <c r="F7" s="91" t="n">
        <v>39199</v>
      </c>
    </row>
    <row r="8">
      <c r="A8" s="82" t="inlineStr">
        <is>
          <t>Total Debt</t>
        </is>
      </c>
      <c r="B8" s="91" t="n"/>
      <c r="C8" s="91" t="n">
        <v>48699</v>
      </c>
      <c r="D8" s="91" t="n">
        <v>53091</v>
      </c>
      <c r="E8" s="91" t="n">
        <v>51948</v>
      </c>
      <c r="F8" s="91" t="n">
        <v>54814</v>
      </c>
    </row>
    <row r="9">
      <c r="A9" s="82" t="inlineStr">
        <is>
          <t>Tangible Book Value</t>
        </is>
      </c>
      <c r="B9" s="91" t="n"/>
      <c r="C9" s="91" t="n">
        <v>-8903.799999999999</v>
      </c>
      <c r="D9" s="91" t="n">
        <v>-7746</v>
      </c>
      <c r="E9" s="91" t="n">
        <v>-6941</v>
      </c>
      <c r="F9" s="91" t="n">
        <v>-5144</v>
      </c>
    </row>
    <row r="10">
      <c r="A10" s="82" t="inlineStr">
        <is>
          <t>Invested Capital</t>
        </is>
      </c>
      <c r="B10" s="91" t="n"/>
      <c r="C10" s="91" t="n">
        <v>29900.1</v>
      </c>
      <c r="D10" s="91" t="n">
        <v>34639</v>
      </c>
      <c r="E10" s="91" t="n">
        <v>34628</v>
      </c>
      <c r="F10" s="91" t="n">
        <v>38183</v>
      </c>
    </row>
    <row r="11">
      <c r="A11" s="82" t="inlineStr">
        <is>
          <t>Working Capital</t>
        </is>
      </c>
      <c r="B11" s="91" t="n"/>
      <c r="C11" s="91" t="n">
        <v>1622.1</v>
      </c>
      <c r="D11" s="91" t="n">
        <v>1127</v>
      </c>
      <c r="E11" s="91" t="n">
        <v>738</v>
      </c>
      <c r="F11" s="91" t="n">
        <v>-198</v>
      </c>
    </row>
    <row r="12">
      <c r="A12" s="82" t="inlineStr">
        <is>
          <t>Net Tangible Assets</t>
        </is>
      </c>
      <c r="B12" s="91" t="n"/>
      <c r="C12" s="91" t="n">
        <v>-8903.799999999999</v>
      </c>
      <c r="D12" s="91" t="n">
        <v>-7746</v>
      </c>
      <c r="E12" s="91" t="n">
        <v>-6941</v>
      </c>
      <c r="F12" s="91" t="n">
        <v>-5144</v>
      </c>
    </row>
    <row r="13">
      <c r="A13" s="82" t="inlineStr">
        <is>
          <t>Capital Lease Obligations</t>
        </is>
      </c>
      <c r="B13" s="91" t="n"/>
      <c r="C13" s="91" t="n">
        <v>12795.5</v>
      </c>
      <c r="D13" s="91" t="n">
        <v>13746</v>
      </c>
      <c r="E13" s="91" t="n">
        <v>13524</v>
      </c>
      <c r="F13" s="91" t="n">
        <v>14841</v>
      </c>
    </row>
    <row r="14">
      <c r="A14" s="82" t="inlineStr">
        <is>
          <t>Common Stock Equity</t>
        </is>
      </c>
      <c r="B14" s="91" t="n"/>
      <c r="C14" s="91" t="n">
        <v>-6003.4</v>
      </c>
      <c r="D14" s="91" t="n">
        <v>-4706</v>
      </c>
      <c r="E14" s="91" t="n">
        <v>-3796</v>
      </c>
      <c r="F14" s="91" t="n">
        <v>-1790</v>
      </c>
    </row>
    <row r="15">
      <c r="A15" s="82" t="inlineStr">
        <is>
          <t>Total Capitalization</t>
        </is>
      </c>
      <c r="B15" s="91" t="n"/>
      <c r="C15" s="91" t="n">
        <v>29900.1</v>
      </c>
      <c r="D15" s="91" t="n">
        <v>32447</v>
      </c>
      <c r="E15" s="91" t="n">
        <v>34628</v>
      </c>
      <c r="F15" s="91" t="n">
        <v>38183</v>
      </c>
    </row>
    <row r="16">
      <c r="A16" s="82" t="inlineStr">
        <is>
          <t>Total Equity Gross Minority Interest</t>
        </is>
      </c>
      <c r="B16" s="91" t="n"/>
      <c r="C16" s="91" t="n">
        <v>-6003.4</v>
      </c>
      <c r="D16" s="91" t="n">
        <v>-4707</v>
      </c>
      <c r="E16" s="91" t="n">
        <v>-3797</v>
      </c>
      <c r="F16" s="91" t="n">
        <v>-1791</v>
      </c>
    </row>
    <row r="17">
      <c r="A17" s="82" t="inlineStr">
        <is>
          <t>Stockholders Equity</t>
        </is>
      </c>
      <c r="B17" s="91" t="n"/>
      <c r="C17" s="91" t="n">
        <v>-6003.4</v>
      </c>
      <c r="D17" s="91" t="n">
        <v>-4706</v>
      </c>
      <c r="E17" s="91" t="n">
        <v>-3796</v>
      </c>
      <c r="F17" s="91" t="n">
        <v>-1790</v>
      </c>
    </row>
    <row r="18">
      <c r="A18" s="82" t="inlineStr">
        <is>
          <t>Gains Losses Not Affecting Retained Earnings</t>
        </is>
      </c>
      <c r="B18" s="91" t="n"/>
      <c r="C18" s="91" t="n">
        <v>-2486.6</v>
      </c>
      <c r="D18" s="91" t="n">
        <v>-2456</v>
      </c>
      <c r="E18" s="91" t="n">
        <v>-2553</v>
      </c>
      <c r="F18" s="91" t="n">
        <v>-2414</v>
      </c>
    </row>
    <row r="19">
      <c r="A19" s="82" t="inlineStr">
        <is>
          <t>Other Equity Adjustments</t>
        </is>
      </c>
      <c r="B19" s="91" t="n"/>
      <c r="C19" s="91" t="n">
        <v>-2486.6</v>
      </c>
      <c r="D19" s="91" t="n">
        <v>-2456</v>
      </c>
      <c r="E19" s="91" t="n">
        <v>-2553</v>
      </c>
      <c r="F19" s="91" t="n">
        <v>-2414</v>
      </c>
    </row>
    <row r="20">
      <c r="A20" s="82" t="inlineStr">
        <is>
          <t>Treasury Stock</t>
        </is>
      </c>
      <c r="B20" s="91" t="n"/>
      <c r="C20" s="91" t="n">
        <v>71624.39999999999</v>
      </c>
      <c r="D20" s="91" t="n">
        <v>74640</v>
      </c>
      <c r="E20" s="91" t="n">
        <v>77375</v>
      </c>
      <c r="F20" s="91" t="n">
        <v>79316</v>
      </c>
    </row>
    <row r="21">
      <c r="A21" s="82" t="inlineStr">
        <is>
          <t>Retained Earnings</t>
        </is>
      </c>
      <c r="B21" s="91" t="n"/>
      <c r="C21" s="91" t="n">
        <v>59543.9</v>
      </c>
      <c r="D21" s="91" t="n">
        <v>63480</v>
      </c>
      <c r="E21" s="91" t="n">
        <v>66834</v>
      </c>
      <c r="F21" s="91" t="n">
        <v>70282</v>
      </c>
    </row>
    <row r="22">
      <c r="A22" s="82" t="inlineStr">
        <is>
          <t>Additional Paid In Capital</t>
        </is>
      </c>
      <c r="B22" s="91" t="n"/>
      <c r="C22" s="91" t="n">
        <v>8547.1</v>
      </c>
      <c r="D22" s="91" t="n">
        <v>8893</v>
      </c>
      <c r="E22" s="91" t="n">
        <v>9281</v>
      </c>
      <c r="F22" s="91" t="n">
        <v>9641</v>
      </c>
    </row>
    <row r="23">
      <c r="A23" s="82" t="inlineStr">
        <is>
          <t>Capital Stock</t>
        </is>
      </c>
      <c r="B23" s="91" t="n"/>
      <c r="C23" s="91" t="n">
        <v>16.6</v>
      </c>
      <c r="D23" s="91" t="n">
        <v>17</v>
      </c>
      <c r="E23" s="91" t="n">
        <v>17</v>
      </c>
      <c r="F23" s="91" t="n">
        <v>17</v>
      </c>
    </row>
    <row r="24">
      <c r="A24" s="82" t="inlineStr">
        <is>
          <t>Common Stock</t>
        </is>
      </c>
      <c r="B24" s="91" t="n"/>
      <c r="C24" s="91" t="n">
        <v>16.6</v>
      </c>
      <c r="D24" s="91" t="n">
        <v>17</v>
      </c>
      <c r="E24" s="91" t="n">
        <v>17</v>
      </c>
      <c r="F24" s="91" t="n">
        <v>17</v>
      </c>
    </row>
    <row r="25">
      <c r="A25" s="82" t="inlineStr">
        <is>
          <t>Preferred Stock</t>
        </is>
      </c>
      <c r="B25" s="91" t="n"/>
      <c r="C25" s="91" t="n">
        <v>0</v>
      </c>
      <c r="D25" s="91" t="n">
        <v>0</v>
      </c>
      <c r="E25" s="91" t="n">
        <v>0</v>
      </c>
      <c r="F25" s="91" t="n">
        <v>0</v>
      </c>
    </row>
    <row r="26">
      <c r="A26" s="82" t="inlineStr">
        <is>
          <t>Total Liabilities Net Minority Interest</t>
        </is>
      </c>
      <c r="B26" s="91" t="n"/>
      <c r="C26" s="91" t="n">
        <v>56439</v>
      </c>
      <c r="D26" s="91" t="n">
        <v>60854</v>
      </c>
      <c r="E26" s="91" t="n">
        <v>58979</v>
      </c>
      <c r="F26" s="91" t="n">
        <v>61306</v>
      </c>
    </row>
    <row r="27">
      <c r="A27" s="82" t="inlineStr">
        <is>
          <t>Total Non Current Liabilities Net Minority Interest</t>
        </is>
      </c>
      <c r="B27" s="91" t="n"/>
      <c r="C27" s="91" t="n">
        <v>52636.9</v>
      </c>
      <c r="D27" s="91" t="n">
        <v>53995</v>
      </c>
      <c r="E27" s="91" t="n">
        <v>55118</v>
      </c>
      <c r="F27" s="91" t="n">
        <v>56945</v>
      </c>
    </row>
    <row r="28">
      <c r="A28" s="82" t="inlineStr">
        <is>
          <t>Other Non Current Liabilities</t>
        </is>
      </c>
      <c r="B28" s="91" t="n"/>
      <c r="C28" s="91" t="n">
        <v>1051.8</v>
      </c>
      <c r="D28" s="91" t="n">
        <v>950</v>
      </c>
      <c r="E28" s="91" t="n">
        <v>770</v>
      </c>
      <c r="F28" s="91" t="n">
        <v>703</v>
      </c>
    </row>
    <row r="29">
      <c r="A29" s="82" t="inlineStr">
        <is>
          <t>Tradeand Other Payables Non Current</t>
        </is>
      </c>
      <c r="B29" s="91" t="n"/>
      <c r="C29" s="91" t="n">
        <v>791.9</v>
      </c>
      <c r="D29" s="91" t="n">
        <v>363</v>
      </c>
      <c r="E29" s="91" t="n">
        <v>344</v>
      </c>
      <c r="F29" s="91" t="n">
        <v>139</v>
      </c>
    </row>
    <row r="30">
      <c r="A30" s="82" t="inlineStr">
        <is>
          <t>Non Current Deferred Liabilities</t>
        </is>
      </c>
      <c r="B30" s="91" t="n"/>
      <c r="C30" s="91" t="n">
        <v>2755.3</v>
      </c>
      <c r="D30" s="91" t="n">
        <v>2471</v>
      </c>
      <c r="E30" s="91" t="n">
        <v>2692</v>
      </c>
      <c r="F30" s="91" t="n">
        <v>1983</v>
      </c>
    </row>
    <row r="31">
      <c r="A31" s="82" t="inlineStr">
        <is>
          <t>Non Current Deferred Revenue</t>
        </is>
      </c>
      <c r="B31" s="91" t="n"/>
      <c r="C31" s="91" t="n">
        <v>757.8</v>
      </c>
      <c r="D31" s="91" t="n">
        <v>790</v>
      </c>
      <c r="E31" s="91" t="n">
        <v>778</v>
      </c>
      <c r="F31" s="91" t="n">
        <v>945</v>
      </c>
    </row>
    <row r="32">
      <c r="A32" s="82" t="inlineStr">
        <is>
          <t>Non Current Deferred Taxes Liabilities</t>
        </is>
      </c>
      <c r="B32" s="91" t="n"/>
      <c r="C32" s="91" t="n">
        <v>1997.5</v>
      </c>
      <c r="D32" s="91" t="n">
        <v>1681</v>
      </c>
      <c r="E32" s="91" t="n">
        <v>1914</v>
      </c>
      <c r="F32" s="91" t="n">
        <v>1038</v>
      </c>
    </row>
    <row r="33">
      <c r="A33" s="82" t="inlineStr">
        <is>
          <t>Long Term Debt And Capital Lease Obligation</t>
        </is>
      </c>
      <c r="B33" s="91" t="n"/>
      <c r="C33" s="91" t="n">
        <v>48037.9</v>
      </c>
      <c r="D33" s="91" t="n">
        <v>50211</v>
      </c>
      <c r="E33" s="91" t="n">
        <v>51312</v>
      </c>
      <c r="F33" s="91" t="n">
        <v>54120</v>
      </c>
    </row>
    <row r="34">
      <c r="A34" s="82" t="inlineStr">
        <is>
          <t>Long Term Capital Lease Obligation</t>
        </is>
      </c>
      <c r="B34" s="91" t="n"/>
      <c r="C34" s="91" t="n">
        <v>12134.4</v>
      </c>
      <c r="D34" s="91" t="n">
        <v>13058</v>
      </c>
      <c r="E34" s="91" t="n">
        <v>12888</v>
      </c>
      <c r="F34" s="91" t="n">
        <v>14147</v>
      </c>
    </row>
    <row r="35">
      <c r="A35" s="82" t="inlineStr">
        <is>
          <t>Long Term Debt</t>
        </is>
      </c>
      <c r="B35" s="91" t="n"/>
      <c r="C35" s="91" t="n">
        <v>35903.5</v>
      </c>
      <c r="D35" s="91" t="n">
        <v>37153</v>
      </c>
      <c r="E35" s="91" t="n">
        <v>38424</v>
      </c>
      <c r="F35" s="91" t="n">
        <v>39973</v>
      </c>
    </row>
    <row r="36">
      <c r="A36" s="82" t="inlineStr">
        <is>
          <t>Current Liabilities</t>
        </is>
      </c>
      <c r="B36" s="91" t="n"/>
      <c r="C36" s="91" t="n">
        <v>3802.1</v>
      </c>
      <c r="D36" s="91" t="n">
        <v>6859</v>
      </c>
      <c r="E36" s="91" t="n">
        <v>3861</v>
      </c>
      <c r="F36" s="91" t="n">
        <v>4361</v>
      </c>
    </row>
    <row r="37">
      <c r="A37" s="82" t="inlineStr">
        <is>
          <t>Current Debt And Capital Lease Obligation</t>
        </is>
      </c>
      <c r="B37" s="91" t="n"/>
      <c r="C37" s="91" t="n">
        <v>661.1</v>
      </c>
      <c r="D37" s="91" t="n">
        <v>2880</v>
      </c>
      <c r="E37" s="91" t="n">
        <v>636</v>
      </c>
      <c r="F37" s="91" t="n">
        <v>694</v>
      </c>
    </row>
    <row r="38">
      <c r="A38" s="82" t="inlineStr">
        <is>
          <t>Current Capital Lease Obligation</t>
        </is>
      </c>
      <c r="B38" s="91" t="n"/>
      <c r="C38" s="91" t="n">
        <v>661.1</v>
      </c>
      <c r="D38" s="91" t="n">
        <v>688</v>
      </c>
      <c r="E38" s="91" t="n">
        <v>636</v>
      </c>
      <c r="F38" s="91" t="n">
        <v>694</v>
      </c>
    </row>
    <row r="39">
      <c r="A39" s="82" t="inlineStr">
        <is>
          <t>Current Debt</t>
        </is>
      </c>
      <c r="B39" s="91" t="n"/>
      <c r="C39" s="91" t="n"/>
      <c r="D39" s="91" t="n">
        <v>2192</v>
      </c>
      <c r="E39" s="91" t="n"/>
      <c r="F39" s="91" t="n"/>
    </row>
    <row r="40">
      <c r="A40" s="82" t="inlineStr">
        <is>
          <t>Other Current Borrowings</t>
        </is>
      </c>
      <c r="B40" s="91" t="n"/>
      <c r="C40" s="91" t="n"/>
      <c r="D40" s="91" t="n">
        <v>2192</v>
      </c>
      <c r="E40" s="91" t="n"/>
      <c r="F40" s="91" t="n"/>
    </row>
    <row r="41">
      <c r="A41" s="82" t="inlineStr">
        <is>
          <t>Payables And Accrued Expenses</t>
        </is>
      </c>
      <c r="B41" s="91" t="n"/>
      <c r="C41" s="91" t="n">
        <v>3141</v>
      </c>
      <c r="D41" s="91" t="n">
        <v>3979</v>
      </c>
      <c r="E41" s="91" t="n">
        <v>3225</v>
      </c>
      <c r="F41" s="91" t="n">
        <v>3667</v>
      </c>
    </row>
    <row r="42">
      <c r="A42" s="82" t="inlineStr">
        <is>
          <t>Current Accrued Expenses</t>
        </is>
      </c>
      <c r="B42" s="91" t="n"/>
      <c r="C42" s="91" t="n">
        <v>1630.8</v>
      </c>
      <c r="D42" s="91" t="n">
        <v>1903</v>
      </c>
      <c r="E42" s="91" t="n">
        <v>1611</v>
      </c>
      <c r="F42" s="91" t="n">
        <v>2021</v>
      </c>
    </row>
    <row r="43">
      <c r="A43" s="82" t="inlineStr">
        <is>
          <t>Interest Payable</t>
        </is>
      </c>
      <c r="B43" s="91" t="n"/>
      <c r="C43" s="91" t="n">
        <v>393.4</v>
      </c>
      <c r="D43" s="91" t="n">
        <v>469</v>
      </c>
      <c r="E43" s="91" t="n">
        <v>482</v>
      </c>
      <c r="F43" s="91" t="n">
        <v>533</v>
      </c>
    </row>
    <row r="44">
      <c r="A44" s="82" t="inlineStr">
        <is>
          <t>Payables</t>
        </is>
      </c>
      <c r="B44" s="91" t="n"/>
      <c r="C44" s="91" t="n">
        <v>1510.2</v>
      </c>
      <c r="D44" s="91" t="n">
        <v>2076</v>
      </c>
      <c r="E44" s="91" t="n">
        <v>1614</v>
      </c>
      <c r="F44" s="91" t="n">
        <v>1646</v>
      </c>
    </row>
    <row r="45">
      <c r="A45" s="82" t="inlineStr">
        <is>
          <t>Total Tax Payable</t>
        </is>
      </c>
      <c r="B45" s="91" t="n"/>
      <c r="C45" s="91" t="n">
        <v>530</v>
      </c>
      <c r="D45" s="91" t="n">
        <v>973</v>
      </c>
      <c r="E45" s="91" t="n">
        <v>585</v>
      </c>
      <c r="F45" s="91" t="n">
        <v>497</v>
      </c>
    </row>
    <row r="46">
      <c r="A46" s="82" t="inlineStr">
        <is>
          <t>Income Tax Payable</t>
        </is>
      </c>
      <c r="B46" s="91" t="n"/>
      <c r="C46" s="91" t="n">
        <v>274.9</v>
      </c>
      <c r="D46" s="91" t="n">
        <v>705</v>
      </c>
      <c r="E46" s="91" t="n">
        <v>361</v>
      </c>
      <c r="F46" s="91" t="n">
        <v>250</v>
      </c>
    </row>
    <row r="47">
      <c r="A47" s="82" t="inlineStr">
        <is>
          <t>Accounts Payable</t>
        </is>
      </c>
      <c r="B47" s="91" t="n"/>
      <c r="C47" s="91" t="n">
        <v>980.2</v>
      </c>
      <c r="D47" s="91" t="n">
        <v>1103</v>
      </c>
      <c r="E47" s="91" t="n">
        <v>1029</v>
      </c>
      <c r="F47" s="91" t="n">
        <v>1149</v>
      </c>
    </row>
    <row r="48">
      <c r="A48" s="82" t="inlineStr">
        <is>
          <t>Total Assets</t>
        </is>
      </c>
      <c r="B48" s="91" t="n"/>
      <c r="C48" s="91" t="n">
        <v>50435.6</v>
      </c>
      <c r="D48" s="91" t="n">
        <v>56147</v>
      </c>
      <c r="E48" s="91" t="n">
        <v>55182</v>
      </c>
      <c r="F48" s="91" t="n">
        <v>59515</v>
      </c>
    </row>
    <row r="49">
      <c r="A49" s="82" t="inlineStr">
        <is>
          <t>Total Non Current Assets</t>
        </is>
      </c>
      <c r="B49" s="91" t="n"/>
      <c r="C49" s="91" t="n">
        <v>45011.4</v>
      </c>
      <c r="D49" s="91" t="n">
        <v>48159</v>
      </c>
      <c r="E49" s="91" t="n">
        <v>50584</v>
      </c>
      <c r="F49" s="91" t="n">
        <v>55352</v>
      </c>
    </row>
    <row r="50">
      <c r="A50" s="82" t="inlineStr">
        <is>
          <t>Other Non Current Assets</t>
        </is>
      </c>
      <c r="B50" s="91" t="n"/>
      <c r="C50" s="91" t="n">
        <v>4707.2</v>
      </c>
      <c r="D50" s="91" t="n">
        <v>5618</v>
      </c>
      <c r="E50" s="91" t="n">
        <v>6095</v>
      </c>
      <c r="F50" s="91" t="n">
        <v>6331</v>
      </c>
    </row>
    <row r="51">
      <c r="A51" s="82" t="inlineStr">
        <is>
          <t>Investments And Advances</t>
        </is>
      </c>
      <c r="B51" s="91" t="n"/>
      <c r="C51" s="91" t="n">
        <v>1064.5</v>
      </c>
      <c r="D51" s="91" t="n">
        <v>1080</v>
      </c>
      <c r="E51" s="91" t="n">
        <v>2710</v>
      </c>
      <c r="F51" s="91" t="n">
        <v>2820</v>
      </c>
    </row>
    <row r="52">
      <c r="A52" s="82" t="inlineStr">
        <is>
          <t>Long Term Equity Investment</t>
        </is>
      </c>
      <c r="B52" s="91" t="n"/>
      <c r="C52" s="91" t="n">
        <v>1064.5</v>
      </c>
      <c r="D52" s="91" t="n">
        <v>1080</v>
      </c>
      <c r="E52" s="91" t="n">
        <v>2710</v>
      </c>
      <c r="F52" s="91" t="n">
        <v>2820</v>
      </c>
    </row>
    <row r="53">
      <c r="A53" s="82" t="inlineStr">
        <is>
          <t>Investmentsin Associatesat Cost</t>
        </is>
      </c>
      <c r="B53" s="91" t="n">
        <v>1201.2</v>
      </c>
      <c r="C53" s="91" t="n">
        <v>1064.5</v>
      </c>
      <c r="D53" s="91" t="n"/>
      <c r="E53" s="91" t="n"/>
      <c r="F53" s="91" t="n"/>
    </row>
    <row r="54">
      <c r="A54" s="82" t="inlineStr">
        <is>
          <t>Goodwill And Other Intangible Assets</t>
        </is>
      </c>
      <c r="B54" s="91" t="n"/>
      <c r="C54" s="91" t="n">
        <v>2900.4</v>
      </c>
      <c r="D54" s="91" t="n">
        <v>3040</v>
      </c>
      <c r="E54" s="91" t="n">
        <v>3145</v>
      </c>
      <c r="F54" s="91" t="n">
        <v>3354</v>
      </c>
    </row>
    <row r="55">
      <c r="A55" s="82" t="inlineStr">
        <is>
          <t>Goodwill</t>
        </is>
      </c>
      <c r="B55" s="91" t="n"/>
      <c r="C55" s="91" t="n">
        <v>2900.4</v>
      </c>
      <c r="D55" s="91" t="n">
        <v>3040</v>
      </c>
      <c r="E55" s="91" t="n">
        <v>3145</v>
      </c>
      <c r="F55" s="91" t="n">
        <v>3354</v>
      </c>
    </row>
    <row r="56">
      <c r="A56" s="82" t="inlineStr">
        <is>
          <t>Net PPE</t>
        </is>
      </c>
      <c r="B56" s="91" t="n"/>
      <c r="C56" s="91" t="n">
        <v>36339.3</v>
      </c>
      <c r="D56" s="91" t="n">
        <v>38421</v>
      </c>
      <c r="E56" s="91" t="n">
        <v>38634</v>
      </c>
      <c r="F56" s="91" t="n">
        <v>42847</v>
      </c>
    </row>
    <row r="57">
      <c r="A57" s="82" t="inlineStr">
        <is>
          <t>Accumulated Depreciation</t>
        </is>
      </c>
      <c r="B57" s="91" t="n"/>
      <c r="C57" s="91" t="n">
        <v>-17264</v>
      </c>
      <c r="D57" s="91" t="n">
        <v>-18662</v>
      </c>
      <c r="E57" s="91" t="n">
        <v>-18882</v>
      </c>
      <c r="F57" s="91" t="n">
        <v>-21049</v>
      </c>
    </row>
    <row r="58">
      <c r="A58" s="82" t="inlineStr">
        <is>
          <t>Gross PPE</t>
        </is>
      </c>
      <c r="B58" s="91" t="n"/>
      <c r="C58" s="91" t="n">
        <v>53603.3</v>
      </c>
      <c r="D58" s="91" t="n">
        <v>57083</v>
      </c>
      <c r="E58" s="91" t="n">
        <v>57516</v>
      </c>
      <c r="F58" s="91" t="n">
        <v>63896</v>
      </c>
    </row>
    <row r="59">
      <c r="A59" s="82" t="inlineStr">
        <is>
          <t>Other Properties</t>
        </is>
      </c>
      <c r="B59" s="91" t="n"/>
      <c r="C59" s="91" t="n">
        <v>15490.8</v>
      </c>
      <c r="D59" s="91" t="n">
        <v>16621</v>
      </c>
      <c r="E59" s="91" t="n">
        <v>16359</v>
      </c>
      <c r="F59" s="91" t="n">
        <v>18019</v>
      </c>
    </row>
    <row r="60">
      <c r="A60" s="82" t="inlineStr">
        <is>
          <t>Machinery Furniture Equipment</t>
        </is>
      </c>
      <c r="B60" s="91" t="n">
        <v>3032</v>
      </c>
      <c r="C60" s="91" t="n">
        <v>2498.6</v>
      </c>
      <c r="D60" s="91" t="n"/>
      <c r="E60" s="91" t="n"/>
      <c r="F60" s="91" t="n"/>
    </row>
    <row r="61">
      <c r="A61" s="82" t="inlineStr">
        <is>
          <t>Buildings And Improvements</t>
        </is>
      </c>
      <c r="B61" s="91" t="n"/>
      <c r="C61" s="91" t="n">
        <v>31426.2</v>
      </c>
      <c r="D61" s="91" t="n">
        <v>33381</v>
      </c>
      <c r="E61" s="91" t="n">
        <v>33904</v>
      </c>
      <c r="F61" s="91" t="n">
        <v>37708</v>
      </c>
    </row>
    <row r="62">
      <c r="A62" s="82" t="inlineStr">
        <is>
          <t>Land And Improvements</t>
        </is>
      </c>
      <c r="B62" s="91" t="n"/>
      <c r="C62" s="91" t="n">
        <v>6686.3</v>
      </c>
      <c r="D62" s="91" t="n">
        <v>7081</v>
      </c>
      <c r="E62" s="91" t="n">
        <v>7253</v>
      </c>
      <c r="F62" s="91" t="n">
        <v>8169</v>
      </c>
    </row>
    <row r="63">
      <c r="A63" s="82" t="inlineStr">
        <is>
          <t>Properties</t>
        </is>
      </c>
      <c r="B63" s="91" t="n"/>
      <c r="C63" s="91" t="n">
        <v>0</v>
      </c>
      <c r="D63" s="91" t="n">
        <v>0</v>
      </c>
      <c r="E63" s="91" t="n">
        <v>0</v>
      </c>
      <c r="F63" s="91" t="n">
        <v>0</v>
      </c>
    </row>
    <row r="64">
      <c r="A64" s="82" t="inlineStr">
        <is>
          <t>Current Assets</t>
        </is>
      </c>
      <c r="B64" s="91" t="n"/>
      <c r="C64" s="91" t="n">
        <v>5424.2</v>
      </c>
      <c r="D64" s="91" t="n">
        <v>7986</v>
      </c>
      <c r="E64" s="91" t="n">
        <v>4599</v>
      </c>
      <c r="F64" s="91" t="n">
        <v>4163</v>
      </c>
    </row>
    <row r="65">
      <c r="A65" s="82" t="inlineStr">
        <is>
          <t>Other Current Assets</t>
        </is>
      </c>
      <c r="B65" s="91" t="n"/>
      <c r="C65" s="91" t="n">
        <v>673.4</v>
      </c>
      <c r="D65" s="91" t="n">
        <v>866</v>
      </c>
      <c r="E65" s="91" t="n">
        <v>1075</v>
      </c>
      <c r="F65" s="91" t="n">
        <v>862</v>
      </c>
    </row>
    <row r="66">
      <c r="A66" s="82" t="inlineStr">
        <is>
          <t>Prepaid Assets</t>
        </is>
      </c>
      <c r="B66" s="91" t="n">
        <v>511.3</v>
      </c>
      <c r="C66" s="91" t="n"/>
      <c r="D66" s="91" t="n"/>
      <c r="E66" s="91" t="n"/>
      <c r="F66" s="91" t="n"/>
    </row>
    <row r="67">
      <c r="A67" s="82" t="inlineStr">
        <is>
          <t>Inventory</t>
        </is>
      </c>
      <c r="B67" s="91" t="n"/>
      <c r="C67" s="91" t="n">
        <v>52</v>
      </c>
      <c r="D67" s="91" t="n">
        <v>53</v>
      </c>
      <c r="E67" s="91" t="n">
        <v>56</v>
      </c>
      <c r="F67" s="91" t="n">
        <v>61</v>
      </c>
    </row>
    <row r="68">
      <c r="A68" s="82" t="inlineStr">
        <is>
          <t>Receivables</t>
        </is>
      </c>
      <c r="B68" s="91" t="n"/>
      <c r="C68" s="91" t="n">
        <v>2115</v>
      </c>
      <c r="D68" s="91" t="n">
        <v>2488</v>
      </c>
      <c r="E68" s="91" t="n">
        <v>2383</v>
      </c>
      <c r="F68" s="91" t="n">
        <v>2466</v>
      </c>
    </row>
    <row r="69">
      <c r="A69" s="82" t="inlineStr">
        <is>
          <t>Accounts Receivable</t>
        </is>
      </c>
      <c r="B69" s="91" t="n"/>
      <c r="C69" s="91" t="n">
        <v>2115</v>
      </c>
      <c r="D69" s="91" t="n">
        <v>2488</v>
      </c>
      <c r="E69" s="91" t="n">
        <v>2383</v>
      </c>
      <c r="F69" s="91" t="n">
        <v>2466</v>
      </c>
    </row>
    <row r="70">
      <c r="A70" s="82" t="inlineStr">
        <is>
          <t>Cash Cash Equivalents And Short Term Investments</t>
        </is>
      </c>
      <c r="B70" s="91" t="n"/>
      <c r="C70" s="91" t="n">
        <v>2583.8</v>
      </c>
      <c r="D70" s="91" t="n">
        <v>4579</v>
      </c>
      <c r="E70" s="91" t="n">
        <v>1085</v>
      </c>
      <c r="F70" s="91" t="n">
        <v>774</v>
      </c>
    </row>
    <row r="71">
      <c r="A71" s="82" t="inlineStr">
        <is>
          <t>Cash And Cash Equivalents</t>
        </is>
      </c>
      <c r="B71" s="91" t="n"/>
      <c r="C71" s="91" t="n">
        <v>2583.8</v>
      </c>
      <c r="D71" s="91" t="n">
        <v>4579</v>
      </c>
      <c r="E71" s="91" t="n">
        <v>1085</v>
      </c>
      <c r="F71" s="91" t="n">
        <v>774</v>
      </c>
    </row>
    <row r="72"/>
    <row r="73">
      <c r="A73" s="2" t="inlineStr">
        <is>
          <t>Source : yfinance — à recouper avec les états financiers officiels (10-K / 20-F / document d'enregistrement universel).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Cash-flow — en millions USD</t>
        </is>
      </c>
    </row>
    <row r="2"/>
    <row r="3">
      <c r="A3" s="78" t="inlineStr">
        <is>
          <t>Poste</t>
        </is>
      </c>
      <c r="B3" s="78" t="inlineStr">
        <is>
          <t>2021</t>
        </is>
      </c>
      <c r="C3" s="78" t="inlineStr">
        <is>
          <t>2022</t>
        </is>
      </c>
      <c r="D3" s="78" t="inlineStr">
        <is>
          <t>2023</t>
        </is>
      </c>
      <c r="E3" s="78" t="inlineStr">
        <is>
          <t>2024</t>
        </is>
      </c>
      <c r="F3" s="78" t="inlineStr">
        <is>
          <t>2025</t>
        </is>
      </c>
    </row>
    <row r="4">
      <c r="A4" s="82" t="inlineStr">
        <is>
          <t>Free Cash Flow</t>
        </is>
      </c>
      <c r="B4" s="91" t="n"/>
      <c r="C4" s="91" t="n">
        <v>5488</v>
      </c>
      <c r="D4" s="91" t="n">
        <v>7255</v>
      </c>
      <c r="E4" s="91" t="n">
        <v>6672</v>
      </c>
      <c r="F4" s="91" t="n">
        <v>7186</v>
      </c>
    </row>
    <row r="5">
      <c r="A5" s="82" t="inlineStr">
        <is>
          <t>Repurchase Of Capital Stock</t>
        </is>
      </c>
      <c r="B5" s="91" t="n"/>
      <c r="C5" s="91" t="n">
        <v>-3896</v>
      </c>
      <c r="D5" s="91" t="n">
        <v>-3054</v>
      </c>
      <c r="E5" s="91" t="n">
        <v>-2824</v>
      </c>
      <c r="F5" s="91" t="n">
        <v>-2056</v>
      </c>
    </row>
    <row r="6">
      <c r="A6" s="82" t="inlineStr">
        <is>
          <t>Repayment Of Debt</t>
        </is>
      </c>
      <c r="B6" s="91" t="n"/>
      <c r="C6" s="91" t="n">
        <v>-2202</v>
      </c>
      <c r="D6" s="91" t="n">
        <v>-2441</v>
      </c>
      <c r="E6" s="91" t="n">
        <v>-2777</v>
      </c>
      <c r="F6" s="91" t="n">
        <v>-4802</v>
      </c>
    </row>
    <row r="7">
      <c r="A7" s="82" t="inlineStr">
        <is>
          <t>Issuance Of Debt</t>
        </is>
      </c>
      <c r="B7" s="91" t="n"/>
      <c r="C7" s="91" t="n">
        <v>3374</v>
      </c>
      <c r="D7" s="91" t="n">
        <v>5221</v>
      </c>
      <c r="E7" s="91" t="n">
        <v>2380</v>
      </c>
      <c r="F7" s="91" t="n">
        <v>4724</v>
      </c>
    </row>
    <row r="8">
      <c r="A8" s="82" t="inlineStr">
        <is>
          <t>Capital Expenditure</t>
        </is>
      </c>
      <c r="B8" s="91" t="n"/>
      <c r="C8" s="91" t="n">
        <v>-1899</v>
      </c>
      <c r="D8" s="91" t="n">
        <v>-2357</v>
      </c>
      <c r="E8" s="91" t="n">
        <v>-2775</v>
      </c>
      <c r="F8" s="91" t="n">
        <v>-3365</v>
      </c>
    </row>
    <row r="9">
      <c r="A9" s="82" t="inlineStr">
        <is>
          <t>Interest Paid Supplemental Data</t>
        </is>
      </c>
      <c r="B9" s="91" t="n"/>
      <c r="C9" s="91" t="n">
        <v>1184</v>
      </c>
      <c r="D9" s="91" t="n">
        <v>1287</v>
      </c>
      <c r="E9" s="91" t="n">
        <v>1523</v>
      </c>
      <c r="F9" s="91" t="n">
        <v>1555</v>
      </c>
    </row>
    <row r="10">
      <c r="A10" s="82" t="inlineStr">
        <is>
          <t>Income Tax Paid Supplemental Data</t>
        </is>
      </c>
      <c r="B10" s="91" t="n">
        <v>2403.9</v>
      </c>
      <c r="C10" s="91" t="n">
        <v>3024</v>
      </c>
      <c r="D10" s="91" t="n">
        <v>2992.9</v>
      </c>
      <c r="E10" s="91" t="n">
        <v>2974</v>
      </c>
      <c r="F10" s="91" t="n"/>
    </row>
    <row r="11">
      <c r="A11" s="82" t="inlineStr">
        <is>
          <t>End Cash Position</t>
        </is>
      </c>
      <c r="B11" s="91" t="n"/>
      <c r="C11" s="91" t="n">
        <v>2584</v>
      </c>
      <c r="D11" s="91" t="n">
        <v>4579</v>
      </c>
      <c r="E11" s="91" t="n">
        <v>1085</v>
      </c>
      <c r="F11" s="91" t="n">
        <v>774</v>
      </c>
    </row>
    <row r="12">
      <c r="A12" s="82" t="inlineStr">
        <is>
          <t>Beginning Cash Position</t>
        </is>
      </c>
      <c r="B12" s="91" t="n"/>
      <c r="C12" s="91" t="n">
        <v>4709</v>
      </c>
      <c r="D12" s="91" t="n">
        <v>2584</v>
      </c>
      <c r="E12" s="91" t="n">
        <v>4579</v>
      </c>
      <c r="F12" s="91" t="n">
        <v>1085</v>
      </c>
    </row>
    <row r="13">
      <c r="A13" s="82" t="inlineStr">
        <is>
          <t>Effect Of Exchange Rate Changes</t>
        </is>
      </c>
      <c r="B13" s="91" t="n"/>
      <c r="C13" s="91" t="n">
        <v>-254</v>
      </c>
      <c r="D13" s="91" t="n">
        <v>-58</v>
      </c>
      <c r="E13" s="91" t="n">
        <v>-101</v>
      </c>
      <c r="F13" s="91" t="n">
        <v>86</v>
      </c>
    </row>
    <row r="14">
      <c r="A14" s="82" t="inlineStr">
        <is>
          <t>Changes In Cash</t>
        </is>
      </c>
      <c r="B14" s="91" t="n"/>
      <c r="C14" s="91" t="n">
        <v>-1871</v>
      </c>
      <c r="D14" s="91" t="n">
        <v>2053</v>
      </c>
      <c r="E14" s="91" t="n">
        <v>-3393</v>
      </c>
      <c r="F14" s="91" t="n">
        <v>-397</v>
      </c>
    </row>
    <row r="15">
      <c r="A15" s="82" t="inlineStr">
        <is>
          <t>Financing Cash Flow</t>
        </is>
      </c>
      <c r="B15" s="91" t="n"/>
      <c r="C15" s="91" t="n">
        <v>-6580</v>
      </c>
      <c r="D15" s="91" t="n">
        <v>-4374</v>
      </c>
      <c r="E15" s="91" t="n">
        <v>-7495</v>
      </c>
      <c r="F15" s="91" t="n">
        <v>-7125</v>
      </c>
    </row>
    <row r="16">
      <c r="A16" s="82" t="inlineStr">
        <is>
          <t>Cash Flow From Continuing Financing Activities</t>
        </is>
      </c>
      <c r="B16" s="91" t="n"/>
      <c r="C16" s="91" t="n">
        <v>-6580</v>
      </c>
      <c r="D16" s="91" t="n">
        <v>-4374</v>
      </c>
      <c r="E16" s="91" t="n">
        <v>-7493</v>
      </c>
      <c r="F16" s="91" t="n">
        <v>-7125</v>
      </c>
    </row>
    <row r="17">
      <c r="A17" s="82" t="inlineStr">
        <is>
          <t>Net Other Financing Charges</t>
        </is>
      </c>
      <c r="B17" s="91" t="n"/>
      <c r="C17" s="91" t="n">
        <v>38</v>
      </c>
      <c r="D17" s="91" t="n">
        <v>-40</v>
      </c>
      <c r="E17" s="91" t="n">
        <v>-58</v>
      </c>
      <c r="F17" s="91" t="n">
        <v>-167</v>
      </c>
    </row>
    <row r="18">
      <c r="A18" s="82" t="inlineStr">
        <is>
          <t>Proceeds From Stock Option Exercised</t>
        </is>
      </c>
      <c r="B18" s="91" t="n"/>
      <c r="C18" s="91" t="n">
        <v>248</v>
      </c>
      <c r="D18" s="91" t="n">
        <v>260</v>
      </c>
      <c r="E18" s="91" t="n">
        <v>328</v>
      </c>
      <c r="F18" s="91" t="n">
        <v>285</v>
      </c>
    </row>
    <row r="19">
      <c r="A19" s="82" t="inlineStr">
        <is>
          <t>Cash Dividends Paid</t>
        </is>
      </c>
      <c r="B19" s="91" t="n"/>
      <c r="C19" s="91" t="n">
        <v>-4168</v>
      </c>
      <c r="D19" s="91" t="n">
        <v>-4533</v>
      </c>
      <c r="E19" s="91" t="n">
        <v>-4870</v>
      </c>
      <c r="F19" s="91" t="n">
        <v>-5115</v>
      </c>
    </row>
    <row r="20">
      <c r="A20" s="82" t="inlineStr">
        <is>
          <t>Common Stock Dividend Paid</t>
        </is>
      </c>
      <c r="B20" s="91" t="n"/>
      <c r="C20" s="91" t="n">
        <v>-4168</v>
      </c>
      <c r="D20" s="91" t="n">
        <v>-4533</v>
      </c>
      <c r="E20" s="91" t="n">
        <v>-4870</v>
      </c>
      <c r="F20" s="91" t="n">
        <v>-5115</v>
      </c>
    </row>
    <row r="21">
      <c r="A21" s="82" t="inlineStr">
        <is>
          <t>Net Common Stock Issuance</t>
        </is>
      </c>
      <c r="B21" s="91" t="n"/>
      <c r="C21" s="91" t="n">
        <v>-3896</v>
      </c>
      <c r="D21" s="91" t="n">
        <v>-3054</v>
      </c>
      <c r="E21" s="91" t="n">
        <v>-2824</v>
      </c>
      <c r="F21" s="91" t="n">
        <v>-2056</v>
      </c>
    </row>
    <row r="22">
      <c r="A22" s="82" t="inlineStr">
        <is>
          <t>Common Stock Payments</t>
        </is>
      </c>
      <c r="B22" s="91" t="n"/>
      <c r="C22" s="91" t="n">
        <v>-3896</v>
      </c>
      <c r="D22" s="91" t="n">
        <v>-3054</v>
      </c>
      <c r="E22" s="91" t="n">
        <v>-2824</v>
      </c>
      <c r="F22" s="91" t="n">
        <v>-2056</v>
      </c>
    </row>
    <row r="23">
      <c r="A23" s="82" t="inlineStr">
        <is>
          <t>Net Issuance Payments Of Debt</t>
        </is>
      </c>
      <c r="B23" s="91" t="n"/>
      <c r="C23" s="91" t="n">
        <v>1198</v>
      </c>
      <c r="D23" s="91" t="n">
        <v>2993</v>
      </c>
      <c r="E23" s="91" t="n">
        <v>-71</v>
      </c>
      <c r="F23" s="91" t="n">
        <v>-72</v>
      </c>
    </row>
    <row r="24">
      <c r="A24" s="82" t="inlineStr">
        <is>
          <t>Net Short Term Debt Issuance</t>
        </is>
      </c>
      <c r="B24" s="91" t="n"/>
      <c r="C24" s="91" t="n">
        <v>26</v>
      </c>
      <c r="D24" s="91" t="n">
        <v>213</v>
      </c>
      <c r="E24" s="91" t="n">
        <v>326</v>
      </c>
      <c r="F24" s="91" t="n">
        <v>6</v>
      </c>
    </row>
    <row r="25">
      <c r="A25" s="82" t="inlineStr">
        <is>
          <t>Net Long Term Debt Issuance</t>
        </is>
      </c>
      <c r="B25" s="91" t="n"/>
      <c r="C25" s="91" t="n">
        <v>1172</v>
      </c>
      <c r="D25" s="91" t="n">
        <v>2780</v>
      </c>
      <c r="E25" s="91" t="n">
        <v>-397</v>
      </c>
      <c r="F25" s="91" t="n">
        <v>-78</v>
      </c>
    </row>
    <row r="26">
      <c r="A26" s="82" t="inlineStr">
        <is>
          <t>Long Term Debt Payments</t>
        </is>
      </c>
      <c r="B26" s="91" t="n"/>
      <c r="C26" s="91" t="n">
        <v>-2202</v>
      </c>
      <c r="D26" s="91" t="n">
        <v>-2441</v>
      </c>
      <c r="E26" s="91" t="n">
        <v>-2777</v>
      </c>
      <c r="F26" s="91" t="n">
        <v>-4802</v>
      </c>
    </row>
    <row r="27">
      <c r="A27" s="82" t="inlineStr">
        <is>
          <t>Long Term Debt Issuance</t>
        </is>
      </c>
      <c r="B27" s="91" t="n"/>
      <c r="C27" s="91" t="n">
        <v>3374</v>
      </c>
      <c r="D27" s="91" t="n">
        <v>5221</v>
      </c>
      <c r="E27" s="91" t="n">
        <v>2380</v>
      </c>
      <c r="F27" s="91" t="n">
        <v>4724</v>
      </c>
    </row>
    <row r="28">
      <c r="A28" s="82" t="inlineStr">
        <is>
          <t>Investing Cash Flow</t>
        </is>
      </c>
      <c r="B28" s="91" t="n"/>
      <c r="C28" s="91" t="n">
        <v>-2678</v>
      </c>
      <c r="D28" s="91" t="n">
        <v>-3185</v>
      </c>
      <c r="E28" s="91" t="n">
        <v>-5346</v>
      </c>
      <c r="F28" s="91" t="n">
        <v>-3822</v>
      </c>
    </row>
    <row r="29">
      <c r="A29" s="82" t="inlineStr">
        <is>
          <t>Cash Flow From Continuing Investing Activities</t>
        </is>
      </c>
      <c r="B29" s="91" t="n"/>
      <c r="C29" s="91" t="n">
        <v>-2678</v>
      </c>
      <c r="D29" s="91" t="n">
        <v>-3184</v>
      </c>
      <c r="E29" s="91" t="n">
        <v>-5346</v>
      </c>
      <c r="F29" s="91" t="n">
        <v>-3822</v>
      </c>
    </row>
    <row r="30">
      <c r="A30" s="82" t="inlineStr">
        <is>
          <t>Net Other Investing Changes</t>
        </is>
      </c>
      <c r="B30" s="91" t="n"/>
      <c r="C30" s="91" t="n">
        <v>-457</v>
      </c>
      <c r="D30" s="91" t="n">
        <v>-677</v>
      </c>
      <c r="E30" s="91" t="n">
        <v>-498</v>
      </c>
      <c r="F30" s="91" t="n">
        <v>-579</v>
      </c>
    </row>
    <row r="31">
      <c r="A31" s="82" t="inlineStr">
        <is>
          <t>Net Business Purchase And Sale</t>
        </is>
      </c>
      <c r="B31" s="91" t="n"/>
      <c r="C31" s="91" t="n">
        <v>-361</v>
      </c>
      <c r="D31" s="91" t="n">
        <v>-246</v>
      </c>
      <c r="E31" s="91" t="n">
        <v>-2195</v>
      </c>
      <c r="F31" s="91" t="n">
        <v>-8</v>
      </c>
    </row>
    <row r="32">
      <c r="A32" s="82" t="inlineStr">
        <is>
          <t>Sale Of Business</t>
        </is>
      </c>
      <c r="B32" s="91" t="n"/>
      <c r="C32" s="91" t="n">
        <v>446</v>
      </c>
      <c r="D32" s="91" t="n">
        <v>195</v>
      </c>
      <c r="E32" s="91" t="n">
        <v>311</v>
      </c>
      <c r="F32" s="91" t="n">
        <v>346</v>
      </c>
    </row>
    <row r="33">
      <c r="A33" s="82" t="inlineStr">
        <is>
          <t>Purchase Of Business</t>
        </is>
      </c>
      <c r="B33" s="91" t="n"/>
      <c r="C33" s="91" t="n">
        <v>-807</v>
      </c>
      <c r="D33" s="91" t="n">
        <v>-441</v>
      </c>
      <c r="E33" s="91" t="n">
        <v>-2506</v>
      </c>
      <c r="F33" s="91" t="n">
        <v>-354</v>
      </c>
    </row>
    <row r="34">
      <c r="A34" s="82" t="inlineStr">
        <is>
          <t>Net PPE Purchase And Sale</t>
        </is>
      </c>
      <c r="B34" s="91" t="n"/>
      <c r="C34" s="91" t="n">
        <v>39</v>
      </c>
      <c r="D34" s="91" t="n">
        <v>95</v>
      </c>
      <c r="E34" s="91" t="n">
        <v>122</v>
      </c>
      <c r="F34" s="91" t="n">
        <v>130</v>
      </c>
    </row>
    <row r="35">
      <c r="A35" s="82" t="inlineStr">
        <is>
          <t>Sale Of PPE</t>
        </is>
      </c>
      <c r="B35" s="91" t="n"/>
      <c r="C35" s="91" t="n">
        <v>39</v>
      </c>
      <c r="D35" s="91" t="n">
        <v>95</v>
      </c>
      <c r="E35" s="91" t="n">
        <v>122</v>
      </c>
      <c r="F35" s="91" t="n">
        <v>130</v>
      </c>
    </row>
    <row r="36">
      <c r="A36" s="82" t="inlineStr">
        <is>
          <t>Capital Expenditure Reported</t>
        </is>
      </c>
      <c r="B36" s="91" t="n"/>
      <c r="C36" s="91" t="n">
        <v>-1899</v>
      </c>
      <c r="D36" s="91" t="n">
        <v>-2357</v>
      </c>
      <c r="E36" s="91" t="n">
        <v>-2775</v>
      </c>
      <c r="F36" s="91" t="n">
        <v>-3365</v>
      </c>
    </row>
    <row r="37">
      <c r="A37" s="82" t="inlineStr">
        <is>
          <t>Operating Cash Flow</t>
        </is>
      </c>
      <c r="B37" s="91" t="n"/>
      <c r="C37" s="91" t="n">
        <v>7387</v>
      </c>
      <c r="D37" s="91" t="n">
        <v>9612</v>
      </c>
      <c r="E37" s="91" t="n">
        <v>9447</v>
      </c>
      <c r="F37" s="91" t="n">
        <v>10551</v>
      </c>
    </row>
    <row r="38">
      <c r="A38" s="82" t="inlineStr">
        <is>
          <t>Cash Flow From Continuing Operating Activities</t>
        </is>
      </c>
      <c r="B38" s="91" t="n"/>
      <c r="C38" s="91" t="n">
        <v>7387</v>
      </c>
      <c r="D38" s="91" t="n">
        <v>9612</v>
      </c>
      <c r="E38" s="91" t="n">
        <v>9446</v>
      </c>
      <c r="F38" s="91" t="n">
        <v>10551</v>
      </c>
    </row>
    <row r="39">
      <c r="A39" s="82" t="inlineStr">
        <is>
          <t>Change In Working Capital</t>
        </is>
      </c>
      <c r="B39" s="91" t="n"/>
      <c r="C39" s="91" t="n">
        <v>-645</v>
      </c>
      <c r="D39" s="91" t="n">
        <v>-108</v>
      </c>
      <c r="E39" s="91" t="n">
        <v>-438</v>
      </c>
      <c r="F39" s="91" t="n">
        <v>106</v>
      </c>
    </row>
    <row r="40">
      <c r="A40" s="82" t="inlineStr">
        <is>
          <t>Change In Other Working Capital</t>
        </is>
      </c>
      <c r="B40" s="91" t="n">
        <v>-302.5</v>
      </c>
      <c r="C40" s="91" t="n">
        <v>-546.7</v>
      </c>
      <c r="D40" s="91" t="n">
        <v>-220.3</v>
      </c>
      <c r="E40" s="91" t="n"/>
      <c r="F40" s="91" t="n"/>
    </row>
    <row r="41">
      <c r="A41" s="82" t="inlineStr">
        <is>
          <t>Change In Payables And Accrued Expense</t>
        </is>
      </c>
      <c r="B41" s="91" t="n"/>
      <c r="C41" s="91" t="n">
        <v>-387</v>
      </c>
      <c r="D41" s="91" t="n">
        <v>36</v>
      </c>
      <c r="E41" s="91" t="n">
        <v>-519</v>
      </c>
      <c r="F41" s="91" t="n">
        <v>15</v>
      </c>
    </row>
    <row r="42">
      <c r="A42" s="82" t="inlineStr">
        <is>
          <t>Change In Accrued Expense</t>
        </is>
      </c>
      <c r="B42" s="91" t="n"/>
      <c r="C42" s="91" t="n">
        <v>129</v>
      </c>
      <c r="D42" s="91" t="n">
        <v>206</v>
      </c>
      <c r="E42" s="91" t="n">
        <v>-217</v>
      </c>
      <c r="F42" s="91" t="n">
        <v>154</v>
      </c>
    </row>
    <row r="43">
      <c r="A43" s="82" t="inlineStr">
        <is>
          <t>Change In Payable</t>
        </is>
      </c>
      <c r="B43" s="91" t="n"/>
      <c r="C43" s="91" t="n">
        <v>-516</v>
      </c>
      <c r="D43" s="91" t="n">
        <v>-170</v>
      </c>
      <c r="E43" s="91" t="n">
        <v>-302</v>
      </c>
      <c r="F43" s="91" t="n">
        <v>-139</v>
      </c>
    </row>
    <row r="44">
      <c r="A44" s="82" t="inlineStr">
        <is>
          <t>Change In Account Payable</t>
        </is>
      </c>
      <c r="B44" s="91" t="n"/>
      <c r="C44" s="91" t="n">
        <v>31</v>
      </c>
      <c r="D44" s="91" t="n">
        <v>50</v>
      </c>
      <c r="E44" s="91" t="n">
        <v>-10</v>
      </c>
      <c r="F44" s="91" t="n">
        <v>100</v>
      </c>
    </row>
    <row r="45">
      <c r="A45" s="82" t="inlineStr">
        <is>
          <t>Change In Tax Payable</t>
        </is>
      </c>
      <c r="B45" s="91" t="n"/>
      <c r="C45" s="91" t="n">
        <v>-547</v>
      </c>
      <c r="D45" s="91" t="n">
        <v>-220</v>
      </c>
      <c r="E45" s="91" t="n">
        <v>-292</v>
      </c>
      <c r="F45" s="91" t="n">
        <v>-239</v>
      </c>
    </row>
    <row r="46">
      <c r="A46" s="82" t="inlineStr">
        <is>
          <t>Change In Income Tax Payable</t>
        </is>
      </c>
      <c r="B46" s="91" t="n"/>
      <c r="C46" s="91" t="n">
        <v>-547</v>
      </c>
      <c r="D46" s="91" t="n">
        <v>-220</v>
      </c>
      <c r="E46" s="91" t="n">
        <v>-292</v>
      </c>
      <c r="F46" s="91" t="n">
        <v>-239</v>
      </c>
    </row>
    <row r="47">
      <c r="A47" s="82" t="inlineStr">
        <is>
          <t>Change In Inventory</t>
        </is>
      </c>
      <c r="B47" s="91" t="n"/>
      <c r="C47" s="91" t="n">
        <v>6</v>
      </c>
      <c r="D47" s="91" t="n">
        <v>17</v>
      </c>
      <c r="E47" s="91" t="n">
        <v>71</v>
      </c>
      <c r="F47" s="91" t="n">
        <v>-140</v>
      </c>
    </row>
    <row r="48">
      <c r="A48" s="82" t="inlineStr">
        <is>
          <t>Change In Receivables</t>
        </is>
      </c>
      <c r="B48" s="91" t="n"/>
      <c r="C48" s="91" t="n">
        <v>-264</v>
      </c>
      <c r="D48" s="91" t="n">
        <v>-161</v>
      </c>
      <c r="E48" s="91" t="n">
        <v>10</v>
      </c>
      <c r="F48" s="91" t="n">
        <v>231</v>
      </c>
    </row>
    <row r="49">
      <c r="A49" s="82" t="inlineStr">
        <is>
          <t>Changes In Account Receivables</t>
        </is>
      </c>
      <c r="B49" s="91" t="n"/>
      <c r="C49" s="91" t="n">
        <v>-264</v>
      </c>
      <c r="D49" s="91" t="n">
        <v>-161</v>
      </c>
      <c r="E49" s="91" t="n">
        <v>10</v>
      </c>
      <c r="F49" s="91" t="n">
        <v>231</v>
      </c>
    </row>
    <row r="50">
      <c r="A50" s="82" t="inlineStr">
        <is>
          <t>Other Non Cash Items</t>
        </is>
      </c>
      <c r="B50" s="91" t="n"/>
      <c r="C50" s="91" t="n">
        <v>-570</v>
      </c>
      <c r="D50" s="91" t="n">
        <v>-113</v>
      </c>
      <c r="E50" s="91" t="n">
        <v>4</v>
      </c>
      <c r="F50" s="91" t="n">
        <v>-207</v>
      </c>
    </row>
    <row r="51">
      <c r="A51" s="82" t="inlineStr">
        <is>
          <t>Stock Based Compensation</t>
        </is>
      </c>
      <c r="B51" s="91" t="n"/>
      <c r="C51" s="91" t="n">
        <v>167</v>
      </c>
      <c r="D51" s="91" t="n">
        <v>175</v>
      </c>
      <c r="E51" s="91" t="n">
        <v>172</v>
      </c>
      <c r="F51" s="91" t="n">
        <v>165</v>
      </c>
    </row>
    <row r="52">
      <c r="A52" s="82" t="inlineStr">
        <is>
          <t>Deferred Tax</t>
        </is>
      </c>
      <c r="B52" s="91" t="n"/>
      <c r="C52" s="91" t="n">
        <v>-346</v>
      </c>
      <c r="D52" s="91" t="n">
        <v>-686</v>
      </c>
      <c r="E52" s="91" t="n">
        <v>-574</v>
      </c>
      <c r="F52" s="91" t="n">
        <v>-126</v>
      </c>
    </row>
    <row r="53">
      <c r="A53" s="82" t="inlineStr">
        <is>
          <t>Deferred Income Tax</t>
        </is>
      </c>
      <c r="B53" s="91" t="n"/>
      <c r="C53" s="91" t="n">
        <v>-346</v>
      </c>
      <c r="D53" s="91" t="n">
        <v>-686</v>
      </c>
      <c r="E53" s="91" t="n">
        <v>-574</v>
      </c>
      <c r="F53" s="91" t="n">
        <v>-126</v>
      </c>
    </row>
    <row r="54">
      <c r="A54" s="82" t="inlineStr">
        <is>
          <t>Depreciation Amortization Depletion</t>
        </is>
      </c>
      <c r="B54" s="91" t="n"/>
      <c r="C54" s="91" t="n">
        <v>1871</v>
      </c>
      <c r="D54" s="91" t="n">
        <v>1978</v>
      </c>
      <c r="E54" s="91" t="n">
        <v>2097</v>
      </c>
      <c r="F54" s="91" t="n">
        <v>2199</v>
      </c>
    </row>
    <row r="55">
      <c r="A55" s="82" t="inlineStr">
        <is>
          <t>Depreciation And Amortization</t>
        </is>
      </c>
      <c r="B55" s="91" t="n"/>
      <c r="C55" s="91" t="n">
        <v>1871</v>
      </c>
      <c r="D55" s="91" t="n">
        <v>1978</v>
      </c>
      <c r="E55" s="91" t="n">
        <v>2097</v>
      </c>
      <c r="F55" s="91" t="n">
        <v>2199</v>
      </c>
    </row>
    <row r="56">
      <c r="A56" s="82" t="inlineStr">
        <is>
          <t>Operating Gains Losses</t>
        </is>
      </c>
      <c r="B56" s="91" t="n"/>
      <c r="C56" s="91" t="n">
        <v>733</v>
      </c>
      <c r="D56" s="91" t="n">
        <v>-103</v>
      </c>
      <c r="E56" s="91" t="n">
        <v>-37</v>
      </c>
      <c r="F56" s="91" t="n">
        <v>-149</v>
      </c>
    </row>
    <row r="57">
      <c r="A57" s="82" t="inlineStr">
        <is>
          <t>Gain Loss On Sale Of Business</t>
        </is>
      </c>
      <c r="B57" s="91" t="n"/>
      <c r="C57" s="91" t="n">
        <v>733</v>
      </c>
      <c r="D57" s="91" t="n">
        <v>-103</v>
      </c>
      <c r="E57" s="91" t="n">
        <v>-37</v>
      </c>
      <c r="F57" s="91" t="n">
        <v>-149</v>
      </c>
    </row>
    <row r="58">
      <c r="A58" s="82" t="inlineStr">
        <is>
          <t>Net Income From Continuing Operations</t>
        </is>
      </c>
      <c r="B58" s="91" t="n"/>
      <c r="C58" s="91" t="n">
        <v>6177</v>
      </c>
      <c r="D58" s="91" t="n">
        <v>8469</v>
      </c>
      <c r="E58" s="91" t="n">
        <v>8223</v>
      </c>
      <c r="F58" s="91" t="n">
        <v>8563</v>
      </c>
    </row>
    <row r="59"/>
    <row r="60">
      <c r="A60" s="2" t="inlineStr">
        <is>
          <t>Source : yfinance — à recouper avec les états financiers officiels (10-K / 20-F / document d'enregistrement universel).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2026-09-21T07:27:11Z</dcterms:created>
  <dcterms:modified xmlns:dcterms="http://purl.org/dc/terms/" xmlns:xsi="http://www.w3.org/2001/XMLSchema-instance" xsi:type="dcterms:W3CDTF">2026-09-21T07:27:11Z</dcterms:modified>
</cp:coreProperties>
</file>