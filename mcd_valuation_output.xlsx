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mmaire" sheetId="1" state="visible" r:id="rId3"/>
    <sheet name="DCF - Modèle" sheetId="2" state="visible" r:id="rId4"/>
    <sheet name="DCF - Sensibilité" sheetId="3" state="visible" r:id="rId5"/>
    <sheet name="Comps - Peers" sheetId="4" state="visible" r:id="rId6"/>
    <sheet name="Comps - Résultat" sheetId="5" state="visible" r:id="rId7"/>
    <sheet name="Football Field" sheetId="6" state="visible" r:id="rId8"/>
    <sheet name="Compte de résultat" sheetId="7" state="visible" r:id="rId9"/>
    <sheet name="Bilan" sheetId="8" state="visible" r:id="rId10"/>
    <sheet name="Cash-flow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<sst xmlns="http://schemas.openxmlformats.org/spreadsheetml/2006/main" count="357" uniqueCount="320">
  <si>
    <t xml:space="preserve">Synthèse de valorisation — MCD</t>
  </si>
  <si>
    <t xml:space="preserve">Généré le 21/09/2026</t>
  </si>
  <si>
    <t xml:space="preserve">VALORISATION</t>
  </si>
  <si>
    <t xml:space="preserve">Prix de marché actuel</t>
  </si>
  <si>
    <t xml:space="preserve">Valeur par action — DCF (scénario actif)</t>
  </si>
  <si>
    <t xml:space="preserve">Scénario actif</t>
  </si>
  <si>
    <t xml:space="preserve">Valeur par action — Comparables (moyenne)</t>
  </si>
  <si>
    <t xml:space="preserve">Ratio DCF / marché</t>
  </si>
  <si>
    <t xml:space="preserve">WACC</t>
  </si>
  <si>
    <t xml:space="preserve">Croissance perpétuelle retenue</t>
  </si>
  <si>
    <t xml:space="preserve">Marge d'EBIT retenue</t>
  </si>
  <si>
    <t xml:space="preserve">SCÉNARIOS (SNAPSHOT PYTHON)</t>
  </si>
  <si>
    <t xml:space="preserve">Bear</t>
  </si>
  <si>
    <t xml:space="preserve">Base</t>
  </si>
  <si>
    <t xml:space="preserve">Bull</t>
  </si>
  <si>
    <t xml:space="preserve">CONSENSUS ANALYSTES</t>
  </si>
  <si>
    <t xml:space="preserve">Prix cible moyen</t>
  </si>
  <si>
    <t xml:space="preserve">Range analystes (low - high)</t>
  </si>
  <si>
    <t xml:space="preserve">250.00 - 407.00</t>
  </si>
  <si>
    <t xml:space="preserve">Nombre d'analystes</t>
  </si>
  <si>
    <t xml:space="preserve">Recommandation</t>
  </si>
  <si>
    <t xml:space="preserve">buy</t>
  </si>
  <si>
    <t xml:space="preserve">COMPARABLES RETENUS</t>
  </si>
  <si>
    <t xml:space="preserve">YUM, QSR, SBUX, WEN, DPZ, CMG, DRI</t>
  </si>
  <si>
    <t xml:space="preserve">LÉGENDE</t>
  </si>
  <si>
    <t xml:space="preserve">Bleu</t>
  </si>
  <si>
    <t xml:space="preserve">Hypothèse modifiable (input)</t>
  </si>
  <si>
    <t xml:space="preserve">Noir</t>
  </si>
  <si>
    <t xml:space="preserve">Formule calculée</t>
  </si>
  <si>
    <t xml:space="preserve">Vert</t>
  </si>
  <si>
    <t xml:space="preserve">Lien vers un autre onglet</t>
  </si>
  <si>
    <t xml:space="preserve">Jaune</t>
  </si>
  <si>
    <t xml:space="preserve">Résultat clé (surligné)</t>
  </si>
  <si>
    <t xml:space="preserve">DCF — MCD</t>
  </si>
  <si>
    <t xml:space="preserve">Bleu = hypothèse modifiable  |  Noir = formule  |  Jaune = résultat clé</t>
  </si>
  <si>
    <t xml:space="preserve">HYPOTHÈSES</t>
  </si>
  <si>
    <t xml:space="preserve">Taux sans risque</t>
  </si>
  <si>
    <t xml:space="preserve">10Y US Treasury — U.S. Department of the Treasury (home.treasury.gov/resource-center/data-chart-center/interest-rates) ou FRED, série DGS10.</t>
  </si>
  <si>
    <t xml:space="preserve">Prime de risque marché</t>
  </si>
  <si>
    <t xml:space="preserve">Equity Risk Premium (US) — Damodaran, NYU Stern (pages.stern.nyu.edu/~adamodar).</t>
  </si>
  <si>
    <t xml:space="preserve">Beta</t>
  </si>
  <si>
    <t xml:space="preserve">yfinance (5Y monthly vs S&amp;P 500). À recouper avec Bloomberg/Refinitiv si la valeur semble aberrante, ou avec le beta moyen des comparables.</t>
  </si>
  <si>
    <t xml:space="preserve">Coût de la dette (avant impôt)</t>
  </si>
  <si>
    <t xml:space="preserve">Approximé par le taux d'intérêt moyen sur la dette existante (notes annexes des états financiers) ou le spread de crédit observé.</t>
  </si>
  <si>
    <t xml:space="preserve">Taux d'imposition</t>
  </si>
  <si>
    <t xml:space="preserve">Taux effectif observé sur les derniers comptes annuels de la société (10-K / 20-F / document d'enregistrement universel).</t>
  </si>
  <si>
    <t xml:space="preserve">Market cap (equity, M)</t>
  </si>
  <si>
    <t xml:space="preserve">Dette totale (M)</t>
  </si>
  <si>
    <t xml:space="preserve">Dette nette (M)</t>
  </si>
  <si>
    <t xml:space="preserve">Actions en circulation (M)</t>
  </si>
  <si>
    <t xml:space="preserve">Capex (% du CA)</t>
  </si>
  <si>
    <t xml:space="preserve">D&amp;A (% du CA)</t>
  </si>
  <si>
    <t xml:space="preserve">Variation du BFR (% du CA)</t>
  </si>
  <si>
    <t xml:space="preserve">WACC (CAPM)</t>
  </si>
  <si>
    <t xml:space="preserve">Coût des fonds propres (CAPM)</t>
  </si>
  <si>
    <t xml:space="preserve">Poids Equity</t>
  </si>
  <si>
    <t xml:space="preserve">Poids Dette</t>
  </si>
  <si>
    <t xml:space="preserve">SCÉNARIO ACTIF</t>
  </si>
  <si>
    <t xml:space="preserve">Sélecteur (1 = Bear, 2 = Base, 3 = Bull)</t>
  </si>
  <si>
    <t xml:space="preserve">Retenu (actif)</t>
  </si>
  <si>
    <t xml:space="preserve">Marge d'EBIT</t>
  </si>
  <si>
    <t xml:space="preserve">Moyenne des 3 derniers exercices (yfinance) (Bear/Bull = delta ± 2% vs Base)</t>
  </si>
  <si>
    <t xml:space="preserve">Croissance perpétuelle (g)</t>
  </si>
  <si>
    <t xml:space="preserve">CROISSANCE DU CA PAR SCÉNARIO (%)</t>
  </si>
  <si>
    <t xml:space="preserve">Année</t>
  </si>
  <si>
    <t xml:space="preserve">N+1</t>
  </si>
  <si>
    <t xml:space="preserve">N+2</t>
  </si>
  <si>
    <t xml:space="preserve">N+3</t>
  </si>
  <si>
    <t xml:space="preserve">N+4</t>
  </si>
  <si>
    <t xml:space="preserve">N+5</t>
  </si>
  <si>
    <t xml:space="preserve">Retenue (active)</t>
  </si>
  <si>
    <t xml:space="preserve">PROJECTION DES FLUX DE TRÉSORERIE DISPONIBLES</t>
  </si>
  <si>
    <t xml:space="preserve">CA de référence (dernier exercice, M)</t>
  </si>
  <si>
    <t xml:space="preserve">Revenus (M)</t>
  </si>
  <si>
    <t xml:space="preserve">EBIT (M)</t>
  </si>
  <si>
    <t xml:space="preserve">NOPAT (M)</t>
  </si>
  <si>
    <t xml:space="preserve">D&amp;A (M)</t>
  </si>
  <si>
    <t xml:space="preserve">Capex (M)</t>
  </si>
  <si>
    <t xml:space="preserve">Variation du BFR (M)</t>
  </si>
  <si>
    <t xml:space="preserve">FCF (M)</t>
  </si>
  <si>
    <t xml:space="preserve">Période (t)</t>
  </si>
  <si>
    <t xml:space="preserve">Facteur d'actualisation</t>
  </si>
  <si>
    <t xml:space="preserve">VA des FCF (M)</t>
  </si>
  <si>
    <t xml:space="preserve">VALEUR TERMINALE</t>
  </si>
  <si>
    <t xml:space="preserve">Valeur terminale (M)</t>
  </si>
  <si>
    <t xml:space="preserve">VA de la valeur terminale (M)</t>
  </si>
  <si>
    <t xml:space="preserve">RÉSULTATS</t>
  </si>
  <si>
    <t xml:space="preserve">Somme des VA des FCF (M)</t>
  </si>
  <si>
    <t xml:space="preserve">Valeur d'entreprise — VE (M)</t>
  </si>
  <si>
    <t xml:space="preserve">Valeur des capitaux propres (M)</t>
  </si>
  <si>
    <t xml:space="preserve">Nombre d'actions (M)</t>
  </si>
  <si>
    <t xml:space="preserve">Valeur par action (DCF)</t>
  </si>
  <si>
    <t xml:space="preserve">Sensibilité — Valeur par action (scénario actif)</t>
  </si>
  <si>
    <t xml:space="preserve">Recalculée par formule à partir de la feuille DCF - Modèle : toute modification des FCF ou du scénario actif s'y répercute automatiquement.</t>
  </si>
  <si>
    <t xml:space="preserve">WACC \ g</t>
  </si>
  <si>
    <t xml:space="preserve">Comparables boursiers</t>
  </si>
  <si>
    <t xml:space="preserve">Ticker</t>
  </si>
  <si>
    <t xml:space="preserve">Nom</t>
  </si>
  <si>
    <t xml:space="preserve">Market Cap (M)</t>
  </si>
  <si>
    <t xml:space="preserve">EV (M)</t>
  </si>
  <si>
    <t xml:space="preserve">P/E</t>
  </si>
  <si>
    <t xml:space="preserve">Fwd P/E</t>
  </si>
  <si>
    <t xml:space="preserve">EV/EBITDA</t>
  </si>
  <si>
    <t xml:space="preserve">EV/Sales</t>
  </si>
  <si>
    <t xml:space="preserve">YUM</t>
  </si>
  <si>
    <t xml:space="preserve">Yum! Brands, Inc.</t>
  </si>
  <si>
    <t xml:space="preserve">QSR</t>
  </si>
  <si>
    <t xml:space="preserve">Restaurant Brands International</t>
  </si>
  <si>
    <t xml:space="preserve">SBUX</t>
  </si>
  <si>
    <t xml:space="preserve">Starbucks Corporation</t>
  </si>
  <si>
    <t xml:space="preserve">WEN</t>
  </si>
  <si>
    <t xml:space="preserve">Wendy's Company (The)</t>
  </si>
  <si>
    <t xml:space="preserve">DPZ</t>
  </si>
  <si>
    <t xml:space="preserve">Domino's Pizza Inc</t>
  </si>
  <si>
    <t xml:space="preserve">CMG</t>
  </si>
  <si>
    <t xml:space="preserve">Chipotle Mexican Grill, Inc.</t>
  </si>
  <si>
    <t xml:space="preserve">DRI</t>
  </si>
  <si>
    <t xml:space="preserve">Darden Restaurants, Inc.</t>
  </si>
  <si>
    <t xml:space="preserve">Source : yfinance, données de marché à la date d'exécution du script.</t>
  </si>
  <si>
    <t xml:space="preserve">Valorisation par comparables</t>
  </si>
  <si>
    <t xml:space="preserve">Métriques de la cible (M)</t>
  </si>
  <si>
    <t xml:space="preserve">Revenue (M)</t>
  </si>
  <si>
    <t xml:space="preserve">EBITDA (M)</t>
  </si>
  <si>
    <t xml:space="preserve">Net income (M)</t>
  </si>
  <si>
    <t xml:space="preserve">Méthode</t>
  </si>
  <si>
    <t xml:space="preserve">Multiple médian peers</t>
  </si>
  <si>
    <t xml:space="preserve">Valeur implicite (M)</t>
  </si>
  <si>
    <t xml:space="preserve">Valeur par action implicite</t>
  </si>
  <si>
    <t xml:space="preserve">Moyenne des méthodes</t>
  </si>
  <si>
    <t xml:space="preserve">Football Field — Fourchettes de valorisation</t>
  </si>
  <si>
    <t xml:space="preserve">Snapshot calculé à la génération du script à partir des scénarios Bear/Bull du DCF, du min-max des comparables et du range 52 semaines.</t>
  </si>
  <si>
    <t xml:space="preserve">Low</t>
  </si>
  <si>
    <t xml:space="preserve">Range</t>
  </si>
  <si>
    <t xml:space="preserve">High</t>
  </si>
  <si>
    <t xml:space="preserve">DCF (Bear-Bull)</t>
  </si>
  <si>
    <t xml:space="preserve">Comparables (min-max)</t>
  </si>
  <si>
    <t xml:space="preserve">52 semaines (marché)</t>
  </si>
  <si>
    <t xml:space="preserve">Compte de résultat — en millions USD</t>
  </si>
  <si>
    <t xml:space="preserve">Poste</t>
  </si>
  <si>
    <t xml:space="preserve">2022</t>
  </si>
  <si>
    <t xml:space="preserve">2023</t>
  </si>
  <si>
    <t xml:space="preserve">2024</t>
  </si>
  <si>
    <t xml:space="preserve">2025</t>
  </si>
  <si>
    <t xml:space="preserve">Tax Effect Of Unusual Items</t>
  </si>
  <si>
    <t xml:space="preserve">Tax Rate For Calcs</t>
  </si>
  <si>
    <t xml:space="preserve">Normalized EBITDA</t>
  </si>
  <si>
    <t xml:space="preserve">Total Unusual Items</t>
  </si>
  <si>
    <t xml:space="preserve">Total Unusual Items Excluding Goodwill</t>
  </si>
  <si>
    <t xml:space="preserve">Net Income From Continuing Operation Net Minority Interest</t>
  </si>
  <si>
    <t xml:space="preserve">Reconciled Depreciation</t>
  </si>
  <si>
    <t xml:space="preserve">Reconciled Cost Of Revenue</t>
  </si>
  <si>
    <t xml:space="preserve">EBITDA</t>
  </si>
  <si>
    <t xml:space="preserve">EBIT</t>
  </si>
  <si>
    <t xml:space="preserve">Net Interest Income</t>
  </si>
  <si>
    <t xml:space="preserve">Interest Expense</t>
  </si>
  <si>
    <t xml:space="preserve">Interest Income</t>
  </si>
  <si>
    <t xml:space="preserve">Normalized Income</t>
  </si>
  <si>
    <t xml:space="preserve">Net Income From Continuing And Discontinued Operation</t>
  </si>
  <si>
    <t xml:space="preserve">Total Expenses</t>
  </si>
  <si>
    <t xml:space="preserve">Rent Expense Supplemental</t>
  </si>
  <si>
    <t xml:space="preserve">Total Operating Income As Reported</t>
  </si>
  <si>
    <t xml:space="preserve">Diluted Average Shares</t>
  </si>
  <si>
    <t xml:space="preserve">Basic Average Shares</t>
  </si>
  <si>
    <t xml:space="preserve">Diluted EPS</t>
  </si>
  <si>
    <t xml:space="preserve">Basic EPS</t>
  </si>
  <si>
    <t xml:space="preserve">Diluted NI Availto Com Stockholders</t>
  </si>
  <si>
    <t xml:space="preserve">Net Income Common Stockholders</t>
  </si>
  <si>
    <t xml:space="preserve">Net Income</t>
  </si>
  <si>
    <t xml:space="preserve">Net Income Including Noncontrolling Interests</t>
  </si>
  <si>
    <t xml:space="preserve">Net Income Continuous Operations</t>
  </si>
  <si>
    <t xml:space="preserve">Tax Provision</t>
  </si>
  <si>
    <t xml:space="preserve">Pretax Income</t>
  </si>
  <si>
    <t xml:space="preserve">Other Income Expense</t>
  </si>
  <si>
    <t xml:space="preserve">Other Non Operating Income Expenses</t>
  </si>
  <si>
    <t xml:space="preserve">Special Income Charges</t>
  </si>
  <si>
    <t xml:space="preserve">Gain On Sale Of Ppe</t>
  </si>
  <si>
    <t xml:space="preserve">Gain On Sale Of Business</t>
  </si>
  <si>
    <t xml:space="preserve">Write Off</t>
  </si>
  <si>
    <t xml:space="preserve">Restructuring And Mergern Acquisition</t>
  </si>
  <si>
    <t xml:space="preserve">Earnings From Equity Interest</t>
  </si>
  <si>
    <t xml:space="preserve">Gain On Sale Of Security</t>
  </si>
  <si>
    <t xml:space="preserve">Net Non Operating Interest Income Expense</t>
  </si>
  <si>
    <t xml:space="preserve">Interest Expense Non Operating</t>
  </si>
  <si>
    <t xml:space="preserve">Interest Income Non Operating</t>
  </si>
  <si>
    <t xml:space="preserve">Operating Income</t>
  </si>
  <si>
    <t xml:space="preserve">Operating Expense</t>
  </si>
  <si>
    <t xml:space="preserve">Depreciation Amortization Depletion Income Statement</t>
  </si>
  <si>
    <t xml:space="preserve">Depreciation And Amortization In Income Statement</t>
  </si>
  <si>
    <t xml:space="preserve">Selling General And Administration</t>
  </si>
  <si>
    <t xml:space="preserve">Gross Profit</t>
  </si>
  <si>
    <t xml:space="preserve">Cost Of Revenue</t>
  </si>
  <si>
    <t xml:space="preserve">Total Revenue</t>
  </si>
  <si>
    <t xml:space="preserve">Operating Revenue</t>
  </si>
  <si>
    <t xml:space="preserve">Source : yfinance — à recouper avec les états financiers officiels (10-K / 20-F / document d'enregistrement universel).</t>
  </si>
  <si>
    <t xml:space="preserve">Bilan — en millions USD</t>
  </si>
  <si>
    <t xml:space="preserve">2021</t>
  </si>
  <si>
    <t xml:space="preserve">Treasury Shares Number</t>
  </si>
  <si>
    <t xml:space="preserve">Ordinary Shares Number</t>
  </si>
  <si>
    <t xml:space="preserve">Share Issued</t>
  </si>
  <si>
    <t xml:space="preserve">Net Debt</t>
  </si>
  <si>
    <t xml:space="preserve">Total Debt</t>
  </si>
  <si>
    <t xml:space="preserve">Tangible Book Value</t>
  </si>
  <si>
    <t xml:space="preserve">Invested Capital</t>
  </si>
  <si>
    <t xml:space="preserve">Working Capital</t>
  </si>
  <si>
    <t xml:space="preserve">Net Tangible Assets</t>
  </si>
  <si>
    <t xml:space="preserve">Capital Lease Obligations</t>
  </si>
  <si>
    <t xml:space="preserve">Common Stock Equity</t>
  </si>
  <si>
    <t xml:space="preserve">Total Capitalization</t>
  </si>
  <si>
    <t xml:space="preserve">Total Equity Gross Minority Interest</t>
  </si>
  <si>
    <t xml:space="preserve">Stockholders Equity</t>
  </si>
  <si>
    <t xml:space="preserve">Gains Losses Not Affecting Retained Earnings</t>
  </si>
  <si>
    <t xml:space="preserve">Other Equity Adjustments</t>
  </si>
  <si>
    <t xml:space="preserve">Treasury Stock</t>
  </si>
  <si>
    <t xml:space="preserve">Retained Earnings</t>
  </si>
  <si>
    <t xml:space="preserve">Additional Paid In Capital</t>
  </si>
  <si>
    <t xml:space="preserve">Capital Stock</t>
  </si>
  <si>
    <t xml:space="preserve">Common Stock</t>
  </si>
  <si>
    <t xml:space="preserve">Preferred Stock</t>
  </si>
  <si>
    <t xml:space="preserve">Total Liabilities Net Minority Interest</t>
  </si>
  <si>
    <t xml:space="preserve">Total Non Current Liabilities Net Minority Interest</t>
  </si>
  <si>
    <t xml:space="preserve">Other Non Current Liabilities</t>
  </si>
  <si>
    <t xml:space="preserve">Tradeand Other Payables Non Current</t>
  </si>
  <si>
    <t xml:space="preserve">Non Current Deferred Liabilities</t>
  </si>
  <si>
    <t xml:space="preserve">Non Current Deferred Revenue</t>
  </si>
  <si>
    <t xml:space="preserve">Non Current Deferred Taxes Liabilities</t>
  </si>
  <si>
    <t xml:space="preserve">Long Term Debt And Capital Lease Obligation</t>
  </si>
  <si>
    <t xml:space="preserve">Long Term Capital Lease Obligation</t>
  </si>
  <si>
    <t xml:space="preserve">Long Term Debt</t>
  </si>
  <si>
    <t xml:space="preserve">Current Liabilities</t>
  </si>
  <si>
    <t xml:space="preserve">Current Debt And Capital Lease Obligation</t>
  </si>
  <si>
    <t xml:space="preserve">Current Capital Lease Obligation</t>
  </si>
  <si>
    <t xml:space="preserve">Current Debt</t>
  </si>
  <si>
    <t xml:space="preserve">Other Current Borrowings</t>
  </si>
  <si>
    <t xml:space="preserve">Payables And Accrued Expenses</t>
  </si>
  <si>
    <t xml:space="preserve">Current Accrued Expenses</t>
  </si>
  <si>
    <t xml:space="preserve">Interest Payable</t>
  </si>
  <si>
    <t xml:space="preserve">Payables</t>
  </si>
  <si>
    <t xml:space="preserve">Total Tax Payable</t>
  </si>
  <si>
    <t xml:space="preserve">Income Tax Payable</t>
  </si>
  <si>
    <t xml:space="preserve">Accounts Payable</t>
  </si>
  <si>
    <t xml:space="preserve">Total Assets</t>
  </si>
  <si>
    <t xml:space="preserve">Total Non Current Assets</t>
  </si>
  <si>
    <t xml:space="preserve">Other Non Current Assets</t>
  </si>
  <si>
    <t xml:space="preserve">Investments And Advances</t>
  </si>
  <si>
    <t xml:space="preserve">Long Term Equity Investment</t>
  </si>
  <si>
    <t xml:space="preserve">Investmentsin Associatesat Cost</t>
  </si>
  <si>
    <t xml:space="preserve">Goodwill And Other Intangible Assets</t>
  </si>
  <si>
    <t xml:space="preserve">Goodwill</t>
  </si>
  <si>
    <t xml:space="preserve">Net PPE</t>
  </si>
  <si>
    <t xml:space="preserve">Accumulated Depreciation</t>
  </si>
  <si>
    <t xml:space="preserve">Gross PPE</t>
  </si>
  <si>
    <t xml:space="preserve">Other Properties</t>
  </si>
  <si>
    <t xml:space="preserve">Machinery Furniture Equipment</t>
  </si>
  <si>
    <t xml:space="preserve">Buildings And Improvements</t>
  </si>
  <si>
    <t xml:space="preserve">Land And Improvements</t>
  </si>
  <si>
    <t xml:space="preserve">Properties</t>
  </si>
  <si>
    <t xml:space="preserve">Current Assets</t>
  </si>
  <si>
    <t xml:space="preserve">Other Current Assets</t>
  </si>
  <si>
    <t xml:space="preserve">Prepaid Assets</t>
  </si>
  <si>
    <t xml:space="preserve">Inventory</t>
  </si>
  <si>
    <t xml:space="preserve">Receivables</t>
  </si>
  <si>
    <t xml:space="preserve">Accounts Receivable</t>
  </si>
  <si>
    <t xml:space="preserve">Cash Cash Equivalents And Short Term Investments</t>
  </si>
  <si>
    <t xml:space="preserve">Cash And Cash Equivalents</t>
  </si>
  <si>
    <t xml:space="preserve">Cash-flow — en millions USD</t>
  </si>
  <si>
    <t xml:space="preserve">Free Cash Flow</t>
  </si>
  <si>
    <t xml:space="preserve">Repurchase Of Capital Stock</t>
  </si>
  <si>
    <t xml:space="preserve">Repayment Of Debt</t>
  </si>
  <si>
    <t xml:space="preserve">Issuance Of Debt</t>
  </si>
  <si>
    <t xml:space="preserve">Capital Expenditure</t>
  </si>
  <si>
    <t xml:space="preserve">Interest Paid Supplemental Data</t>
  </si>
  <si>
    <t xml:space="preserve">Income Tax Paid Supplemental Data</t>
  </si>
  <si>
    <t xml:space="preserve">End Cash Position</t>
  </si>
  <si>
    <t xml:space="preserve">Beginning Cash Position</t>
  </si>
  <si>
    <t xml:space="preserve">Effect Of Exchange Rate Changes</t>
  </si>
  <si>
    <t xml:space="preserve">Changes In Cash</t>
  </si>
  <si>
    <t xml:space="preserve">Financing Cash Flow</t>
  </si>
  <si>
    <t xml:space="preserve">Cash Flow From Continuing Financing Activities</t>
  </si>
  <si>
    <t xml:space="preserve">Net Other Financing Charges</t>
  </si>
  <si>
    <t xml:space="preserve">Proceeds From Stock Option Exercised</t>
  </si>
  <si>
    <t xml:space="preserve">Cash Dividends Paid</t>
  </si>
  <si>
    <t xml:space="preserve">Common Stock Dividend Paid</t>
  </si>
  <si>
    <t xml:space="preserve">Net Common Stock Issuance</t>
  </si>
  <si>
    <t xml:space="preserve">Common Stock Payments</t>
  </si>
  <si>
    <t xml:space="preserve">Net Issuance Payments Of Debt</t>
  </si>
  <si>
    <t xml:space="preserve">Net Short Term Debt Issuance</t>
  </si>
  <si>
    <t xml:space="preserve">Net Long Term Debt Issuance</t>
  </si>
  <si>
    <t xml:space="preserve">Long Term Debt Payments</t>
  </si>
  <si>
    <t xml:space="preserve">Long Term Debt Issuance</t>
  </si>
  <si>
    <t xml:space="preserve">Investing Cash Flow</t>
  </si>
  <si>
    <t xml:space="preserve">Cash Flow From Continuing Investing Activities</t>
  </si>
  <si>
    <t xml:space="preserve">Net Other Investing Changes</t>
  </si>
  <si>
    <t xml:space="preserve">Net Business Purchase And Sale</t>
  </si>
  <si>
    <t xml:space="preserve">Sale Of Business</t>
  </si>
  <si>
    <t xml:space="preserve">Purchase Of Business</t>
  </si>
  <si>
    <t xml:space="preserve">Net PPE Purchase And Sale</t>
  </si>
  <si>
    <t xml:space="preserve">Sale Of PPE</t>
  </si>
  <si>
    <t xml:space="preserve">Capital Expenditure Reported</t>
  </si>
  <si>
    <t xml:space="preserve">Operating Cash Flow</t>
  </si>
  <si>
    <t xml:space="preserve">Cash Flow From Continuing Operating Activities</t>
  </si>
  <si>
    <t xml:space="preserve">Change In Working Capital</t>
  </si>
  <si>
    <t xml:space="preserve">Change In Other Working Capital</t>
  </si>
  <si>
    <t xml:space="preserve">Change In Payables And Accrued Expense</t>
  </si>
  <si>
    <t xml:space="preserve">Change In Accrued Expense</t>
  </si>
  <si>
    <t xml:space="preserve">Change In Payable</t>
  </si>
  <si>
    <t xml:space="preserve">Change In Account Payable</t>
  </si>
  <si>
    <t xml:space="preserve">Change In Tax Payable</t>
  </si>
  <si>
    <t xml:space="preserve">Change In Income Tax Payable</t>
  </si>
  <si>
    <t xml:space="preserve">Change In Inventory</t>
  </si>
  <si>
    <t xml:space="preserve">Change In Receivables</t>
  </si>
  <si>
    <t xml:space="preserve">Changes In Account Receivables</t>
  </si>
  <si>
    <t xml:space="preserve">Other Non Cash Items</t>
  </si>
  <si>
    <t xml:space="preserve">Stock Based Compensation</t>
  </si>
  <si>
    <t xml:space="preserve">Deferred Tax</t>
  </si>
  <si>
    <t xml:space="preserve">Deferred Income Tax</t>
  </si>
  <si>
    <t xml:space="preserve">Depreciation Amortization Depletion</t>
  </si>
  <si>
    <t xml:space="preserve">Depreciation And Amortization</t>
  </si>
  <si>
    <t xml:space="preserve">Operating Gains Losses</t>
  </si>
  <si>
    <t xml:space="preserve">Gain Loss On Sale Of Business</t>
  </si>
  <si>
    <t xml:space="preserve">Net Income From Continuing Operations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</si>
</sst>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"/>
    <numFmt numFmtId="166" formatCode="0.0\x"/>
    <numFmt numFmtId="167" formatCode="0.0%"/>
    <numFmt numFmtId="168" formatCode="0"/>
    <numFmt numFmtId="169" formatCode="0.00"/>
    <numFmt numFmtId="170" formatCode="\$#,##0;&quot;($&quot;#,##0\);\-"/>
    <numFmt numFmtId="171" formatCode="#,##0.0"/>
    <numFmt numFmtId="172" formatCode="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FF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/>
      <top/>
      <bottom/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FFC000"/>
      </left>
      <right/>
      <top style="thin">
        <color rgb="FFFFC000"/>
      </top>
      <bottom/>
      <diagonal/>
    </border>
    <border diagonalUp="false" diagonalDown="false">
      <left style="thin">
        <color rgb="FFFFC000"/>
      </left>
      <right/>
      <top/>
      <bottom style="thin">
        <color rgb="FFFFC000"/>
      </bottom>
      <diagonal/>
    </border>
    <border diagonalUp="false" diagonalDown="false">
      <left/>
      <right/>
      <top/>
      <bottom style="thin">
        <color rgb="FFFFC000"/>
      </bottom>
      <diagonal/>
    </border>
    <border diagonalUp="false" diagonalDown="false">
      <left/>
      <right style="thin">
        <color rgb="FFFFC000"/>
      </right>
      <top/>
      <bottom style="thin">
        <color rgb="FFFFC000"/>
      </bottom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Football Field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'Football Field'!B4</c:f>
              <c:strCache>
                <c:ptCount val="1"/>
                <c:pt idx="0">
                  <c:v>Low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Field'!$A$5:$A$8</c:f>
              <c:strCache>
                <c:ptCount val="4"/>
                <c:pt idx="0">
                  <c:v>DCF (Bear-Bull)</c:v>
                </c:pt>
                <c:pt idx="1">
                  <c:v>Comparables (min-max)</c:v>
                </c:pt>
                <c:pt idx="2">
                  <c:v>52 semaines (marché)</c:v>
                </c:pt>
                <c:pt idx="3">
                  <c:v>Prix de marché actuel</c:v>
                </c:pt>
              </c:strCache>
            </c:strRef>
          </c:cat>
          <c:val>
            <c:numRef>
              <c:f>'Football Field'!$B$5:$B$8</c:f>
              <c:numCache>
                <c:formatCode>\$#,##0.00</c:formatCode>
                <c:ptCount val="4"/>
                <c:pt idx="0">
                  <c:v>170.589454836229</c:v>
                </c:pt>
                <c:pt idx="1">
                  <c:v>50.5662575500935</c:v>
                </c:pt>
                <c:pt idx="2">
                  <c:v>247.65</c:v>
                </c:pt>
                <c:pt idx="3">
                  <c:v>246.9988</c:v>
                </c:pt>
              </c:numCache>
            </c:numRef>
          </c:val>
        </c:ser>
        <c:ser>
          <c:idx val="1"/>
          <c:order val="1"/>
          <c:tx>
            <c:strRef>
              <c:f>'Football Field'!C4</c:f>
              <c:strCache>
                <c:ptCount val="1"/>
                <c:pt idx="0">
                  <c:v>Range</c:v>
                </c:pt>
              </c:strCache>
            </c:strRef>
          </c:tx>
          <c:spPr>
            <a:solidFill>
              <a:srgbClr val="1f386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Field'!$A$5:$A$8</c:f>
              <c:strCache>
                <c:ptCount val="4"/>
                <c:pt idx="0">
                  <c:v>DCF (Bear-Bull)</c:v>
                </c:pt>
                <c:pt idx="1">
                  <c:v>Comparables (min-max)</c:v>
                </c:pt>
                <c:pt idx="2">
                  <c:v>52 semaines (marché)</c:v>
                </c:pt>
                <c:pt idx="3">
                  <c:v>Prix de marché actuel</c:v>
                </c:pt>
              </c:strCache>
            </c:strRef>
          </c:cat>
          <c:val>
            <c:numRef>
              <c:f>'Football Field'!$C$5:$C$8</c:f>
              <c:numCache>
                <c:formatCode>\$#,##0.00</c:formatCode>
                <c:ptCount val="4"/>
                <c:pt idx="0">
                  <c:v>298.661135954482</c:v>
                </c:pt>
                <c:pt idx="1">
                  <c:v>183.971329168926</c:v>
                </c:pt>
                <c:pt idx="2">
                  <c:v>94.1</c:v>
                </c:pt>
                <c:pt idx="3">
                  <c:v>2.48240000000001</c:v>
                </c:pt>
              </c:numCache>
            </c:numRef>
          </c:val>
        </c:ser>
        <c:gapWidth val="150"/>
        <c:overlap val="100"/>
        <c:axId val="88069809"/>
        <c:axId val="60319263"/>
      </c:barChart>
      <c:catAx>
        <c:axId val="88069809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Valeur par action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319263"/>
        <c:crosses val="autoZero"/>
        <c:auto val="1"/>
        <c:lblAlgn val="ctr"/>
        <c:lblOffset val="100"/>
        <c:noMultiLvlLbl val="0"/>
      </c:catAx>
      <c:valAx>
        <c:axId val="603192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0698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16</xdr:col>
      <xdr:colOff>473040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7025760" y="5716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/>
    </row>
    <row r="5" customFormat="false" ht="15" hidden="false" customHeight="false" outlineLevel="0" collapsed="false">
      <c r="A5" s="4" t="s">
        <v>3</v>
      </c>
      <c r="B5" s="5" t="n">
        <f aca="false">'DCF - Modèle'!B62</f>
        <v>248.24</v>
      </c>
    </row>
    <row r="6" customFormat="false" ht="15" hidden="false" customHeight="false" outlineLevel="0" collapsed="false">
      <c r="A6" s="6" t="s">
        <v>4</v>
      </c>
      <c r="B6" s="7" t="n">
        <f aca="false">'DCF - Modèle'!B61</f>
        <v>281.352641438111</v>
      </c>
    </row>
    <row r="7" customFormat="false" ht="15" hidden="false" customHeight="false" outlineLevel="0" collapsed="false">
      <c r="A7" s="4" t="s">
        <v>5</v>
      </c>
      <c r="B7" s="8" t="str">
        <f aca="false">'DCF - Modèle'!C24</f>
        <v>Base</v>
      </c>
    </row>
    <row r="8" customFormat="false" ht="15" hidden="false" customHeight="false" outlineLevel="0" collapsed="false">
      <c r="A8" s="6" t="s">
        <v>6</v>
      </c>
      <c r="B8" s="7" t="n">
        <f aca="false">'Comps - Résultat'!D16</f>
        <v>168.895865831059</v>
      </c>
    </row>
    <row r="9" customFormat="false" ht="15" hidden="false" customHeight="false" outlineLevel="0" collapsed="false">
      <c r="A9" s="4" t="s">
        <v>7</v>
      </c>
      <c r="B9" s="9" t="n">
        <f aca="false">'DCF - Modèle'!B63</f>
        <v>1.13338962873877</v>
      </c>
    </row>
    <row r="10" customFormat="false" ht="15" hidden="false" customHeight="false" outlineLevel="0" collapsed="false">
      <c r="A10" s="4" t="s">
        <v>8</v>
      </c>
      <c r="B10" s="10" t="n">
        <f aca="false">'DCF - Modèle'!B21</f>
        <v>0.0540312239782107</v>
      </c>
    </row>
    <row r="11" customFormat="false" ht="15" hidden="false" customHeight="false" outlineLevel="0" collapsed="false">
      <c r="A11" s="4" t="s">
        <v>9</v>
      </c>
      <c r="B11" s="10" t="n">
        <f aca="false">'DCF - Modèle'!E27</f>
        <v>0.02</v>
      </c>
    </row>
    <row r="12" customFormat="false" ht="15" hidden="false" customHeight="false" outlineLevel="0" collapsed="false">
      <c r="A12" s="11" t="s">
        <v>10</v>
      </c>
      <c r="B12" s="12" t="n">
        <f aca="false">'DCF - Modèle'!E26</f>
        <v>0.459657358427811</v>
      </c>
    </row>
    <row r="14" customFormat="false" ht="19.5" hidden="false" customHeight="true" outlineLevel="0" collapsed="false">
      <c r="A14" s="3" t="s">
        <v>11</v>
      </c>
      <c r="B14" s="3"/>
    </row>
    <row r="15" customFormat="false" ht="15" hidden="false" customHeight="false" outlineLevel="0" collapsed="false">
      <c r="A15" s="4" t="s">
        <v>12</v>
      </c>
      <c r="B15" s="13" t="n">
        <v>170.589454836229</v>
      </c>
    </row>
    <row r="16" customFormat="false" ht="15" hidden="false" customHeight="false" outlineLevel="0" collapsed="false">
      <c r="A16" s="4" t="s">
        <v>13</v>
      </c>
      <c r="B16" s="13" t="n">
        <v>281.352641438111</v>
      </c>
    </row>
    <row r="17" customFormat="false" ht="15" hidden="false" customHeight="false" outlineLevel="0" collapsed="false">
      <c r="A17" s="11" t="s">
        <v>14</v>
      </c>
      <c r="B17" s="14" t="n">
        <v>469.250590790712</v>
      </c>
    </row>
    <row r="19" customFormat="false" ht="19.5" hidden="false" customHeight="true" outlineLevel="0" collapsed="false">
      <c r="A19" s="15" t="s">
        <v>15</v>
      </c>
      <c r="B19" s="15"/>
    </row>
    <row r="20" customFormat="false" ht="15" hidden="false" customHeight="false" outlineLevel="0" collapsed="false">
      <c r="A20" s="16" t="s">
        <v>16</v>
      </c>
      <c r="B20" s="17" t="n">
        <v>311.5484</v>
      </c>
    </row>
    <row r="21" customFormat="false" ht="15" hidden="false" customHeight="false" outlineLevel="0" collapsed="false">
      <c r="A21" s="4" t="s">
        <v>17</v>
      </c>
      <c r="B21" s="18" t="s">
        <v>18</v>
      </c>
    </row>
    <row r="22" customFormat="false" ht="15" hidden="false" customHeight="false" outlineLevel="0" collapsed="false">
      <c r="A22" s="4" t="s">
        <v>19</v>
      </c>
      <c r="B22" s="19" t="n">
        <v>31</v>
      </c>
    </row>
    <row r="23" customFormat="false" ht="15" hidden="false" customHeight="false" outlineLevel="0" collapsed="false">
      <c r="A23" s="11" t="s">
        <v>20</v>
      </c>
      <c r="B23" s="20" t="s">
        <v>21</v>
      </c>
    </row>
    <row r="25" customFormat="false" ht="19.5" hidden="false" customHeight="true" outlineLevel="0" collapsed="false">
      <c r="A25" s="3" t="s">
        <v>22</v>
      </c>
      <c r="B25" s="3"/>
    </row>
    <row r="26" customFormat="false" ht="15" hidden="false" customHeight="false" outlineLevel="0" collapsed="false">
      <c r="A26" s="11" t="s">
        <v>23</v>
      </c>
      <c r="B26" s="21"/>
    </row>
    <row r="28" customFormat="false" ht="19.5" hidden="false" customHeight="true" outlineLevel="0" collapsed="false">
      <c r="A28" s="15" t="s">
        <v>24</v>
      </c>
      <c r="B28" s="15"/>
    </row>
    <row r="29" customFormat="false" ht="15" hidden="false" customHeight="false" outlineLevel="0" collapsed="false">
      <c r="A29" s="22" t="s">
        <v>25</v>
      </c>
      <c r="B29" s="23" t="s">
        <v>26</v>
      </c>
    </row>
    <row r="30" customFormat="false" ht="15" hidden="false" customHeight="false" outlineLevel="0" collapsed="false">
      <c r="A30" s="24" t="s">
        <v>27</v>
      </c>
      <c r="B30" s="25" t="s">
        <v>28</v>
      </c>
    </row>
    <row r="31" customFormat="false" ht="15" hidden="false" customHeight="false" outlineLevel="0" collapsed="false">
      <c r="A31" s="26" t="s">
        <v>29</v>
      </c>
      <c r="B31" s="25" t="s">
        <v>30</v>
      </c>
    </row>
    <row r="32" customFormat="false" ht="15" hidden="false" customHeight="false" outlineLevel="0" collapsed="false">
      <c r="A32" s="11" t="s">
        <v>31</v>
      </c>
      <c r="B32" s="27" t="s">
        <v>32</v>
      </c>
    </row>
  </sheetData>
  <mergeCells count="5">
    <mergeCell ref="A4:B4"/>
    <mergeCell ref="A14:B14"/>
    <mergeCell ref="A19:B19"/>
    <mergeCell ref="A25:B25"/>
    <mergeCell ref="A28:B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34</v>
      </c>
    </row>
    <row r="3" customFormat="false" ht="19.5" hidden="false" customHeight="true" outlineLevel="0" collapsed="false">
      <c r="A3" s="28" t="s">
        <v>35</v>
      </c>
      <c r="B3" s="28"/>
      <c r="C3" s="28"/>
      <c r="D3" s="28"/>
      <c r="E3" s="28"/>
    </row>
    <row r="4" customFormat="false" ht="15" hidden="false" customHeight="false" outlineLevel="0" collapsed="false">
      <c r="A4" s="4" t="s">
        <v>36</v>
      </c>
      <c r="B4" s="29" t="n">
        <v>0.042</v>
      </c>
      <c r="C4" s="2" t="s">
        <v>37</v>
      </c>
    </row>
    <row r="5" customFormat="false" ht="15" hidden="false" customHeight="false" outlineLevel="0" collapsed="false">
      <c r="A5" s="4" t="s">
        <v>38</v>
      </c>
      <c r="B5" s="29" t="n">
        <v>0.05</v>
      </c>
      <c r="C5" s="2" t="s">
        <v>39</v>
      </c>
    </row>
    <row r="6" customFormat="false" ht="15" hidden="false" customHeight="false" outlineLevel="0" collapsed="false">
      <c r="A6" s="4" t="s">
        <v>40</v>
      </c>
      <c r="B6" s="30" t="n">
        <v>0.414</v>
      </c>
      <c r="C6" s="2" t="s">
        <v>41</v>
      </c>
    </row>
    <row r="7" customFormat="false" ht="15" hidden="false" customHeight="false" outlineLevel="0" collapsed="false">
      <c r="A7" s="4" t="s">
        <v>42</v>
      </c>
      <c r="B7" s="29" t="n">
        <v>0.035</v>
      </c>
      <c r="C7" s="2" t="s">
        <v>43</v>
      </c>
    </row>
    <row r="8" customFormat="false" ht="15" hidden="false" customHeight="false" outlineLevel="0" collapsed="false">
      <c r="A8" s="4" t="s">
        <v>44</v>
      </c>
      <c r="B8" s="29" t="n">
        <v>0.25</v>
      </c>
      <c r="C8" s="2" t="s">
        <v>45</v>
      </c>
    </row>
    <row r="9" customFormat="false" ht="15" hidden="false" customHeight="false" outlineLevel="0" collapsed="false">
      <c r="A9" s="4" t="s">
        <v>46</v>
      </c>
      <c r="B9" s="31" t="n">
        <v>175664.939008</v>
      </c>
    </row>
    <row r="10" customFormat="false" ht="15" hidden="false" customHeight="false" outlineLevel="0" collapsed="false">
      <c r="A10" s="4" t="s">
        <v>47</v>
      </c>
      <c r="B10" s="31" t="n">
        <v>54814</v>
      </c>
    </row>
    <row r="11" customFormat="false" ht="15" hidden="false" customHeight="false" outlineLevel="0" collapsed="false">
      <c r="A11" s="4" t="s">
        <v>48</v>
      </c>
      <c r="B11" s="31" t="n">
        <v>54040</v>
      </c>
    </row>
    <row r="12" customFormat="false" ht="15" hidden="false" customHeight="false" outlineLevel="0" collapsed="false">
      <c r="A12" s="4" t="s">
        <v>49</v>
      </c>
      <c r="B12" s="32" t="n">
        <v>707.641552562037</v>
      </c>
    </row>
    <row r="13" customFormat="false" ht="15" hidden="false" customHeight="false" outlineLevel="0" collapsed="false">
      <c r="A13" s="4" t="s">
        <v>50</v>
      </c>
      <c r="B13" s="29" t="n">
        <v>0.08</v>
      </c>
    </row>
    <row r="14" customFormat="false" ht="15" hidden="false" customHeight="false" outlineLevel="0" collapsed="false">
      <c r="A14" s="4" t="s">
        <v>51</v>
      </c>
      <c r="B14" s="29" t="n">
        <v>0.06</v>
      </c>
    </row>
    <row r="15" customFormat="false" ht="15" hidden="false" customHeight="false" outlineLevel="0" collapsed="false">
      <c r="A15" s="11" t="s">
        <v>52</v>
      </c>
      <c r="B15" s="33" t="n">
        <v>0.005</v>
      </c>
    </row>
    <row r="17" customFormat="false" ht="19.5" hidden="false" customHeight="true" outlineLevel="0" collapsed="false">
      <c r="A17" s="3" t="s">
        <v>53</v>
      </c>
      <c r="B17" s="3"/>
    </row>
    <row r="18" customFormat="false" ht="15" hidden="false" customHeight="false" outlineLevel="0" collapsed="false">
      <c r="A18" s="4" t="s">
        <v>54</v>
      </c>
      <c r="B18" s="34" t="n">
        <f aca="false">B4+B6*B5</f>
        <v>0.0627</v>
      </c>
    </row>
    <row r="19" customFormat="false" ht="15" hidden="false" customHeight="false" outlineLevel="0" collapsed="false">
      <c r="A19" s="4" t="s">
        <v>55</v>
      </c>
      <c r="B19" s="34" t="n">
        <f aca="false">B9/(B9+B10)</f>
        <v>0.7621734973446</v>
      </c>
    </row>
    <row r="20" customFormat="false" ht="15" hidden="false" customHeight="false" outlineLevel="0" collapsed="false">
      <c r="A20" s="4" t="s">
        <v>56</v>
      </c>
      <c r="B20" s="34" t="n">
        <f aca="false">1-B19</f>
        <v>0.237826502655401</v>
      </c>
    </row>
    <row r="21" customFormat="false" ht="15" hidden="false" customHeight="false" outlineLevel="0" collapsed="false">
      <c r="A21" s="35" t="s">
        <v>8</v>
      </c>
      <c r="B21" s="36" t="n">
        <f aca="false">B19*B18+B20*B7*(1-B8)</f>
        <v>0.0540312239782107</v>
      </c>
    </row>
    <row r="23" customFormat="false" ht="19.5" hidden="false" customHeight="true" outlineLevel="0" collapsed="false">
      <c r="A23" s="37" t="s">
        <v>57</v>
      </c>
      <c r="B23" s="37"/>
      <c r="C23" s="37"/>
      <c r="D23" s="37"/>
      <c r="E23" s="37"/>
    </row>
    <row r="24" customFormat="false" ht="15" hidden="false" customHeight="false" outlineLevel="0" collapsed="false">
      <c r="A24" s="38" t="s">
        <v>58</v>
      </c>
      <c r="B24" s="39" t="n">
        <v>2</v>
      </c>
      <c r="C24" s="40" t="str">
        <f aca="false">CHOOSE(B24,"Bear","Base","Bull")</f>
        <v>Base</v>
      </c>
    </row>
    <row r="25" customFormat="false" ht="15" hidden="false" customHeight="false" outlineLevel="0" collapsed="false">
      <c r="A25" s="41"/>
      <c r="B25" s="42" t="s">
        <v>12</v>
      </c>
      <c r="C25" s="42" t="s">
        <v>13</v>
      </c>
      <c r="D25" s="42" t="s">
        <v>14</v>
      </c>
      <c r="E25" s="43" t="s">
        <v>59</v>
      </c>
    </row>
    <row r="26" customFormat="false" ht="15" hidden="false" customHeight="false" outlineLevel="0" collapsed="false">
      <c r="A26" s="4" t="s">
        <v>60</v>
      </c>
      <c r="B26" s="44" t="n">
        <v>0.439657358427811</v>
      </c>
      <c r="C26" s="44" t="n">
        <v>0.459657358427811</v>
      </c>
      <c r="D26" s="44" t="n">
        <v>0.479657358427811</v>
      </c>
      <c r="E26" s="45" t="n">
        <f aca="false">CHOOSE($B$24,B26,C26,D26)</f>
        <v>0.459657358427811</v>
      </c>
      <c r="F26" s="2" t="s">
        <v>61</v>
      </c>
    </row>
    <row r="27" customFormat="false" ht="15" hidden="false" customHeight="false" outlineLevel="0" collapsed="false">
      <c r="A27" s="11" t="s">
        <v>62</v>
      </c>
      <c r="B27" s="46" t="n">
        <v>0.01</v>
      </c>
      <c r="C27" s="46" t="n">
        <v>0.02</v>
      </c>
      <c r="D27" s="46" t="n">
        <v>0.03</v>
      </c>
      <c r="E27" s="47" t="n">
        <f aca="false">CHOOSE($B$24,B27,C27,D27)</f>
        <v>0.02</v>
      </c>
    </row>
    <row r="29" customFormat="false" ht="19.5" hidden="false" customHeight="true" outlineLevel="0" collapsed="false">
      <c r="A29" s="3" t="s">
        <v>63</v>
      </c>
      <c r="B29" s="3"/>
      <c r="C29" s="3"/>
      <c r="D29" s="3"/>
      <c r="E29" s="3"/>
      <c r="F29" s="3"/>
    </row>
    <row r="30" customFormat="false" ht="15" hidden="false" customHeight="false" outlineLevel="0" collapsed="false">
      <c r="A30" s="48" t="s">
        <v>64</v>
      </c>
      <c r="B30" s="49" t="s">
        <v>65</v>
      </c>
      <c r="C30" s="49" t="s">
        <v>66</v>
      </c>
      <c r="D30" s="49" t="s">
        <v>67</v>
      </c>
      <c r="E30" s="49" t="s">
        <v>68</v>
      </c>
      <c r="F30" s="50" t="s">
        <v>69</v>
      </c>
    </row>
    <row r="31" customFormat="false" ht="15" hidden="false" customHeight="false" outlineLevel="0" collapsed="false">
      <c r="A31" s="4" t="s">
        <v>12</v>
      </c>
      <c r="B31" s="44" t="n">
        <v>0</v>
      </c>
      <c r="C31" s="44" t="n">
        <v>-0.005</v>
      </c>
      <c r="D31" s="44" t="n">
        <v>-0.01</v>
      </c>
      <c r="E31" s="44" t="n">
        <v>-0.01</v>
      </c>
      <c r="F31" s="29" t="n">
        <v>-0.005</v>
      </c>
    </row>
    <row r="32" customFormat="false" ht="15" hidden="false" customHeight="false" outlineLevel="0" collapsed="false">
      <c r="A32" s="4" t="s">
        <v>13</v>
      </c>
      <c r="B32" s="44" t="n">
        <v>0.02</v>
      </c>
      <c r="C32" s="44" t="n">
        <v>0.02</v>
      </c>
      <c r="D32" s="44" t="n">
        <v>0.015</v>
      </c>
      <c r="E32" s="44" t="n">
        <v>0.015</v>
      </c>
      <c r="F32" s="29" t="n">
        <v>0.01</v>
      </c>
    </row>
    <row r="33" customFormat="false" ht="15" hidden="false" customHeight="false" outlineLevel="0" collapsed="false">
      <c r="A33" s="4" t="s">
        <v>14</v>
      </c>
      <c r="B33" s="44" t="n">
        <v>0.04</v>
      </c>
      <c r="C33" s="44" t="n">
        <v>0.035</v>
      </c>
      <c r="D33" s="44" t="n">
        <v>0.03</v>
      </c>
      <c r="E33" s="44" t="n">
        <v>0.025</v>
      </c>
      <c r="F33" s="29" t="n">
        <v>0.02</v>
      </c>
    </row>
    <row r="34" customFormat="false" ht="15" hidden="false" customHeight="false" outlineLevel="0" collapsed="false">
      <c r="A34" s="35" t="s">
        <v>70</v>
      </c>
      <c r="B34" s="51" t="n">
        <f aca="false">CHOOSE($B$24,B31,B32,B33)</f>
        <v>0.02</v>
      </c>
      <c r="C34" s="51" t="n">
        <f aca="false">CHOOSE($B$24,C31,C32,C33)</f>
        <v>0.02</v>
      </c>
      <c r="D34" s="51" t="n">
        <f aca="false">CHOOSE($B$24,D31,D32,D33)</f>
        <v>0.015</v>
      </c>
      <c r="E34" s="51" t="n">
        <f aca="false">CHOOSE($B$24,E31,E32,E33)</f>
        <v>0.015</v>
      </c>
      <c r="F34" s="47" t="n">
        <f aca="false">CHOOSE($B$24,F31,F32,F33)</f>
        <v>0.01</v>
      </c>
    </row>
    <row r="36" customFormat="false" ht="19.5" hidden="false" customHeight="true" outlineLevel="0" collapsed="false">
      <c r="A36" s="3" t="s">
        <v>71</v>
      </c>
      <c r="B36" s="3"/>
      <c r="C36" s="3"/>
      <c r="D36" s="3"/>
      <c r="E36" s="3"/>
      <c r="F36" s="3"/>
    </row>
    <row r="37" customFormat="false" ht="15" hidden="false" customHeight="false" outlineLevel="0" collapsed="false">
      <c r="A37" s="4" t="s">
        <v>72</v>
      </c>
      <c r="B37" s="52" t="n">
        <v>26885</v>
      </c>
      <c r="C37" s="53"/>
      <c r="D37" s="53"/>
      <c r="E37" s="53"/>
      <c r="F37" s="54"/>
    </row>
    <row r="38" customFormat="false" ht="15" hidden="false" customHeight="false" outlineLevel="0" collapsed="false">
      <c r="A38" s="48" t="s">
        <v>64</v>
      </c>
      <c r="B38" s="49" t="s">
        <v>65</v>
      </c>
      <c r="C38" s="49" t="s">
        <v>66</v>
      </c>
      <c r="D38" s="49" t="s">
        <v>67</v>
      </c>
      <c r="E38" s="49" t="s">
        <v>68</v>
      </c>
      <c r="F38" s="50" t="s">
        <v>69</v>
      </c>
    </row>
    <row r="39" customFormat="false" ht="15" hidden="false" customHeight="false" outlineLevel="0" collapsed="false">
      <c r="A39" s="4" t="s">
        <v>73</v>
      </c>
      <c r="B39" s="55" t="n">
        <f aca="false">B37*(1+B34)</f>
        <v>27422.7</v>
      </c>
      <c r="C39" s="55" t="n">
        <f aca="false">B39*(1+C34)</f>
        <v>27971.154</v>
      </c>
      <c r="D39" s="55" t="n">
        <f aca="false">C39*(1+D34)</f>
        <v>28390.72131</v>
      </c>
      <c r="E39" s="55" t="n">
        <f aca="false">D39*(1+E34)</f>
        <v>28816.58212965</v>
      </c>
      <c r="F39" s="56" t="n">
        <f aca="false">E39*(1+F34)</f>
        <v>29104.7479509465</v>
      </c>
    </row>
    <row r="40" customFormat="false" ht="15" hidden="false" customHeight="false" outlineLevel="0" collapsed="false">
      <c r="A40" s="57" t="s">
        <v>74</v>
      </c>
      <c r="B40" s="58" t="n">
        <f aca="false">B39*$E$26</f>
        <v>12605.0458429583</v>
      </c>
      <c r="C40" s="58" t="n">
        <f aca="false">C39*$E$26</f>
        <v>12857.1467598175</v>
      </c>
      <c r="D40" s="58" t="n">
        <f aca="false">D39*$E$26</f>
        <v>13050.0039612148</v>
      </c>
      <c r="E40" s="58" t="n">
        <f aca="false">E39*$E$26</f>
        <v>13245.754020633</v>
      </c>
      <c r="F40" s="59" t="n">
        <f aca="false">F39*$E$26</f>
        <v>13378.2115608393</v>
      </c>
    </row>
    <row r="41" customFormat="false" ht="15" hidden="false" customHeight="false" outlineLevel="0" collapsed="false">
      <c r="A41" s="4" t="s">
        <v>75</v>
      </c>
      <c r="B41" s="55" t="n">
        <f aca="false">B40*(1-$B$8)</f>
        <v>9453.78438221876</v>
      </c>
      <c r="C41" s="55" t="n">
        <f aca="false">C40*(1-$B$8)</f>
        <v>9642.86006986313</v>
      </c>
      <c r="D41" s="55" t="n">
        <f aca="false">D40*(1-$B$8)</f>
        <v>9787.50297091108</v>
      </c>
      <c r="E41" s="55" t="n">
        <f aca="false">E40*(1-$B$8)</f>
        <v>9934.31551547475</v>
      </c>
      <c r="F41" s="56" t="n">
        <f aca="false">F40*(1-$B$8)</f>
        <v>10033.6586706295</v>
      </c>
    </row>
    <row r="42" customFormat="false" ht="15" hidden="false" customHeight="false" outlineLevel="0" collapsed="false">
      <c r="A42" s="57" t="s">
        <v>76</v>
      </c>
      <c r="B42" s="58" t="n">
        <f aca="false">B39*$B$14</f>
        <v>1645.362</v>
      </c>
      <c r="C42" s="58" t="n">
        <f aca="false">C39*$B$14</f>
        <v>1678.26924</v>
      </c>
      <c r="D42" s="58" t="n">
        <f aca="false">D39*$B$14</f>
        <v>1703.4432786</v>
      </c>
      <c r="E42" s="58" t="n">
        <f aca="false">E39*$B$14</f>
        <v>1728.994927779</v>
      </c>
      <c r="F42" s="59" t="n">
        <f aca="false">F39*$B$14</f>
        <v>1746.28487705679</v>
      </c>
    </row>
    <row r="43" customFormat="false" ht="15" hidden="false" customHeight="false" outlineLevel="0" collapsed="false">
      <c r="A43" s="4" t="s">
        <v>77</v>
      </c>
      <c r="B43" s="55" t="n">
        <f aca="false">B39*$B$13</f>
        <v>2193.816</v>
      </c>
      <c r="C43" s="55" t="n">
        <f aca="false">C39*$B$13</f>
        <v>2237.69232</v>
      </c>
      <c r="D43" s="55" t="n">
        <f aca="false">D39*$B$13</f>
        <v>2271.2577048</v>
      </c>
      <c r="E43" s="55" t="n">
        <f aca="false">E39*$B$13</f>
        <v>2305.326570372</v>
      </c>
      <c r="F43" s="56" t="n">
        <f aca="false">F39*$B$13</f>
        <v>2328.37983607572</v>
      </c>
    </row>
    <row r="44" customFormat="false" ht="15" hidden="false" customHeight="false" outlineLevel="0" collapsed="false">
      <c r="A44" s="57" t="s">
        <v>78</v>
      </c>
      <c r="B44" s="58" t="n">
        <f aca="false">B39*$B$15</f>
        <v>137.1135</v>
      </c>
      <c r="C44" s="58" t="n">
        <f aca="false">C39*$B$15</f>
        <v>139.85577</v>
      </c>
      <c r="D44" s="58" t="n">
        <f aca="false">D39*$B$15</f>
        <v>141.95360655</v>
      </c>
      <c r="E44" s="58" t="n">
        <f aca="false">E39*$B$15</f>
        <v>144.08291064825</v>
      </c>
      <c r="F44" s="59" t="n">
        <f aca="false">F39*$B$15</f>
        <v>145.523739754733</v>
      </c>
    </row>
    <row r="45" customFormat="false" ht="15" hidden="false" customHeight="false" outlineLevel="0" collapsed="false">
      <c r="A45" s="6" t="s">
        <v>79</v>
      </c>
      <c r="B45" s="60" t="n">
        <f aca="false">B41+B42-B43-B44</f>
        <v>8768.21688221876</v>
      </c>
      <c r="C45" s="60" t="n">
        <f aca="false">C41+C42-C43-C44</f>
        <v>8943.58121986313</v>
      </c>
      <c r="D45" s="60" t="n">
        <f aca="false">D41+D42-D43-D44</f>
        <v>9077.73493816108</v>
      </c>
      <c r="E45" s="60" t="n">
        <f aca="false">E41+E42-E43-E44</f>
        <v>9213.9009622335</v>
      </c>
      <c r="F45" s="61" t="n">
        <f aca="false">F41+F42-F43-F44</f>
        <v>9306.03997185583</v>
      </c>
    </row>
    <row r="46" customFormat="false" ht="15" hidden="false" customHeight="false" outlineLevel="0" collapsed="false">
      <c r="A46" s="57" t="s">
        <v>80</v>
      </c>
      <c r="B46" s="62" t="n">
        <v>1</v>
      </c>
      <c r="C46" s="62" t="n">
        <v>2</v>
      </c>
      <c r="D46" s="62" t="n">
        <v>3</v>
      </c>
      <c r="E46" s="62" t="n">
        <v>4</v>
      </c>
      <c r="F46" s="63" t="n">
        <v>5</v>
      </c>
    </row>
    <row r="47" customFormat="false" ht="15" hidden="false" customHeight="false" outlineLevel="0" collapsed="false">
      <c r="A47" s="4" t="s">
        <v>81</v>
      </c>
      <c r="B47" s="64" t="n">
        <f aca="false">1/(1+$B$21)^B46</f>
        <v>0.948738497732276</v>
      </c>
      <c r="C47" s="64" t="n">
        <f aca="false">1/(1+$B$21)^C46</f>
        <v>0.900104737079297</v>
      </c>
      <c r="D47" s="64" t="n">
        <f aca="false">1/(1+$B$21)^D46</f>
        <v>0.853964016058317</v>
      </c>
      <c r="E47" s="64" t="n">
        <f aca="false">1/(1+$B$21)^E46</f>
        <v>0.81018853771259</v>
      </c>
      <c r="F47" s="65" t="n">
        <f aca="false">1/(1+$B$21)^F46</f>
        <v>0.768657056149352</v>
      </c>
    </row>
    <row r="48" customFormat="false" ht="15" hidden="false" customHeight="false" outlineLevel="0" collapsed="false">
      <c r="A48" s="66" t="s">
        <v>82</v>
      </c>
      <c r="B48" s="67" t="n">
        <f aca="false">B45*B47</f>
        <v>8318.74491262701</v>
      </c>
      <c r="C48" s="67" t="n">
        <f aca="false">C45*C47</f>
        <v>8050.15982245224</v>
      </c>
      <c r="D48" s="67" t="n">
        <f aca="false">D45*D47</f>
        <v>7752.05898450494</v>
      </c>
      <c r="E48" s="67" t="n">
        <f aca="false">E45*E47</f>
        <v>7464.99694722058</v>
      </c>
      <c r="F48" s="68" t="n">
        <f aca="false">F45*F47</f>
        <v>7153.1532891749</v>
      </c>
    </row>
    <row r="50" customFormat="false" ht="19.5" hidden="false" customHeight="true" outlineLevel="0" collapsed="false">
      <c r="A50" s="3" t="s">
        <v>83</v>
      </c>
      <c r="B50" s="3"/>
    </row>
    <row r="51" customFormat="false" ht="15" hidden="false" customHeight="false" outlineLevel="0" collapsed="false">
      <c r="A51" s="4" t="s">
        <v>84</v>
      </c>
      <c r="B51" s="56" t="n">
        <f aca="false">F45*(1+E27)/(B21-E27)</f>
        <v>278925.047696508</v>
      </c>
    </row>
    <row r="52" customFormat="false" ht="15" hidden="false" customHeight="false" outlineLevel="0" collapsed="false">
      <c r="A52" s="11" t="s">
        <v>85</v>
      </c>
      <c r="B52" s="69" t="n">
        <f aca="false">B51*F47</f>
        <v>214397.706048715</v>
      </c>
    </row>
    <row r="54" customFormat="false" ht="19.5" hidden="false" customHeight="true" outlineLevel="0" collapsed="false">
      <c r="A54" s="3" t="s">
        <v>86</v>
      </c>
      <c r="B54" s="3"/>
    </row>
    <row r="55" customFormat="false" ht="15" hidden="false" customHeight="false" outlineLevel="0" collapsed="false">
      <c r="A55" s="4" t="s">
        <v>87</v>
      </c>
      <c r="B55" s="70" t="n">
        <f aca="false">SUM(B48:F48)</f>
        <v>38739.1139559797</v>
      </c>
    </row>
    <row r="56" customFormat="false" ht="15" hidden="false" customHeight="false" outlineLevel="0" collapsed="false">
      <c r="A56" s="4" t="s">
        <v>85</v>
      </c>
      <c r="B56" s="70" t="n">
        <f aca="false">B52</f>
        <v>214397.706048715</v>
      </c>
    </row>
    <row r="57" customFormat="false" ht="15" hidden="false" customHeight="false" outlineLevel="0" collapsed="false">
      <c r="A57" s="6" t="s">
        <v>88</v>
      </c>
      <c r="B57" s="61" t="n">
        <f aca="false">B55+B56</f>
        <v>253136.820004695</v>
      </c>
    </row>
    <row r="58" customFormat="false" ht="15" hidden="false" customHeight="false" outlineLevel="0" collapsed="false">
      <c r="A58" s="4" t="s">
        <v>48</v>
      </c>
      <c r="B58" s="70" t="n">
        <f aca="false">B11</f>
        <v>54040</v>
      </c>
    </row>
    <row r="59" customFormat="false" ht="15" hidden="false" customHeight="false" outlineLevel="0" collapsed="false">
      <c r="A59" s="6" t="s">
        <v>89</v>
      </c>
      <c r="B59" s="61" t="n">
        <f aca="false">B57-B58</f>
        <v>199096.820004695</v>
      </c>
    </row>
    <row r="60" customFormat="false" ht="15" hidden="false" customHeight="false" outlineLevel="0" collapsed="false">
      <c r="A60" s="4" t="s">
        <v>90</v>
      </c>
      <c r="B60" s="71" t="n">
        <f aca="false">B12</f>
        <v>707.641552562037</v>
      </c>
    </row>
    <row r="61" customFormat="false" ht="15" hidden="false" customHeight="false" outlineLevel="0" collapsed="false">
      <c r="A61" s="6" t="s">
        <v>91</v>
      </c>
      <c r="B61" s="72" t="n">
        <f aca="false">B59/B60</f>
        <v>281.352641438111</v>
      </c>
    </row>
    <row r="62" customFormat="false" ht="15" hidden="false" customHeight="false" outlineLevel="0" collapsed="false">
      <c r="A62" s="4" t="s">
        <v>3</v>
      </c>
      <c r="B62" s="73" t="n">
        <v>248.24</v>
      </c>
    </row>
    <row r="63" customFormat="false" ht="15" hidden="false" customHeight="false" outlineLevel="0" collapsed="false">
      <c r="A63" s="35" t="s">
        <v>7</v>
      </c>
      <c r="B63" s="74" t="n">
        <f aca="false">B61/B62</f>
        <v>1.13338962873877</v>
      </c>
    </row>
  </sheetData>
  <mergeCells count="7">
    <mergeCell ref="A3:E3"/>
    <mergeCell ref="A17:B17"/>
    <mergeCell ref="A23:E23"/>
    <mergeCell ref="A29:F29"/>
    <mergeCell ref="A36:F36"/>
    <mergeCell ref="A50:B50"/>
    <mergeCell ref="A54:B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2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3" customFormat="false" ht="15" hidden="false" customHeight="false" outlineLevel="0" collapsed="false">
      <c r="A3" s="75" t="s">
        <v>94</v>
      </c>
      <c r="B3" s="76" t="n">
        <v>0.01</v>
      </c>
      <c r="C3" s="76" t="n">
        <v>0.015</v>
      </c>
      <c r="D3" s="76" t="n">
        <v>0.02</v>
      </c>
      <c r="E3" s="76" t="n">
        <v>0.025</v>
      </c>
      <c r="F3" s="76" t="n">
        <v>0.03</v>
      </c>
    </row>
    <row r="4" customFormat="false" ht="15" hidden="false" customHeight="false" outlineLevel="0" collapsed="false">
      <c r="A4" s="77" t="n">
        <v>0.034</v>
      </c>
      <c r="B4" s="78" t="n">
        <f aca="false">IFERROR((SUMPRODUCT('DCF - Modèle'!$B$45:$F$45,1/(1+$A4)^'DCF - Modèle'!$B$46:$F$46)+('DCF - Modèle'!$F$45*(1+B$3))/($A4-B$3)/(1+$A4)^'DCF - Modèle'!$F$46-'DCF - Modèle'!$B$11)/'DCF - Modèle'!$B$12,"n/a")</f>
        <v>449.788582858793</v>
      </c>
      <c r="C4" s="78" t="n">
        <f aca="false">IFERROR((SUMPRODUCT('DCF - Modèle'!$B$45:$F$45,1/(1+$A4)^'DCF - Modèle'!$B$46:$F$46)+('DCF - Modèle'!$F$45*(1+C$3))/($A4-C$3)/(1+$A4)^'DCF - Modèle'!$F$46-'DCF - Modèle'!$B$11)/'DCF - Modèle'!$B$12,"n/a")</f>
        <v>575.934905178854</v>
      </c>
      <c r="D4" s="78" t="n">
        <f aca="false">IFERROR((SUMPRODUCT('DCF - Modèle'!$B$45:$F$45,1/(1+$A4)^'DCF - Modèle'!$B$46:$F$46)+('DCF - Modèle'!$F$45*(1+D$3))/($A4-D$3)/(1+$A4)^'DCF - Modèle'!$F$46-'DCF - Modèle'!$B$11)/'DCF - Modèle'!$B$12,"n/a")</f>
        <v>792.185743441816</v>
      </c>
      <c r="E4" s="78" t="n">
        <f aca="false">IFERROR((SUMPRODUCT('DCF - Modèle'!$B$45:$F$45,1/(1+$A4)^'DCF - Modèle'!$B$46:$F$46)+('DCF - Modèle'!$F$45*(1+E$3))/($A4-E$3)/(1+$A4)^'DCF - Modèle'!$F$46-'DCF - Modèle'!$B$11)/'DCF - Modèle'!$B$12,"n/a")</f>
        <v>1248.71529088585</v>
      </c>
      <c r="F4" s="78" t="n">
        <f aca="false">IFERROR((SUMPRODUCT('DCF - Modèle'!$B$45:$F$45,1/(1+$A4)^'DCF - Modèle'!$B$46:$F$46)+('DCF - Modèle'!$F$45*(1+F$3))/($A4-F$3)/(1+$A4)^'DCF - Modèle'!$F$46-'DCF - Modèle'!$B$11)/'DCF - Modèle'!$B$12,"n/a")</f>
        <v>2846.56870693995</v>
      </c>
    </row>
    <row r="5" customFormat="false" ht="15" hidden="false" customHeight="false" outlineLevel="0" collapsed="false">
      <c r="A5" s="77" t="n">
        <v>0.044</v>
      </c>
      <c r="B5" s="78" t="n">
        <f aca="false">IFERROR((SUMPRODUCT('DCF - Modèle'!$B$45:$F$45,1/(1+$A5)^'DCF - Modèle'!$B$46:$F$46)+('DCF - Modèle'!$F$45*(1+B$3))/($A5-B$3)/(1+$A5)^'DCF - Modèle'!$F$46-'DCF - Modèle'!$B$11)/'DCF - Modèle'!$B$12,"n/a")</f>
        <v>294.921662591506</v>
      </c>
      <c r="C5" s="78" t="n">
        <f aca="false">IFERROR((SUMPRODUCT('DCF - Modèle'!$B$45:$F$45,1/(1+$A5)^'DCF - Modèle'!$B$46:$F$46)+('DCF - Modèle'!$F$45*(1+C$3))/($A5-C$3)/(1+$A5)^'DCF - Modèle'!$F$46-'DCF - Modèle'!$B$11)/'DCF - Modèle'!$B$12,"n/a")</f>
        <v>351.057820047438</v>
      </c>
      <c r="D5" s="78" t="n">
        <f aca="false">IFERROR((SUMPRODUCT('DCF - Modèle'!$B$45:$F$45,1/(1+$A5)^'DCF - Modèle'!$B$46:$F$46)+('DCF - Modèle'!$F$45*(1+D$3))/($A5-D$3)/(1+$A5)^'DCF - Modèle'!$F$46-'DCF - Modèle'!$B$11)/'DCF - Modèle'!$B$12,"n/a")</f>
        <v>430.584043110008</v>
      </c>
      <c r="E5" s="78" t="n">
        <f aca="false">IFERROR((SUMPRODUCT('DCF - Modèle'!$B$45:$F$45,1/(1+$A5)^'DCF - Modèle'!$B$46:$F$46)+('DCF - Modèle'!$F$45*(1+E$3))/($A5-E$3)/(1+$A5)^'DCF - Modèle'!$F$46-'DCF - Modèle'!$B$11)/'DCF - Modèle'!$B$12,"n/a")</f>
        <v>551.966173047615</v>
      </c>
      <c r="F5" s="78" t="n">
        <f aca="false">IFERROR((SUMPRODUCT('DCF - Modèle'!$B$45:$F$45,1/(1+$A5)^'DCF - Modèle'!$B$46:$F$46)+('DCF - Modèle'!$F$45*(1+F$3))/($A5-F$3)/(1+$A5)^'DCF - Modèle'!$F$46-'DCF - Modèle'!$B$11)/'DCF - Modèle'!$B$12,"n/a")</f>
        <v>760.049824369226</v>
      </c>
    </row>
    <row r="6" customFormat="false" ht="15" hidden="false" customHeight="false" outlineLevel="0" collapsed="false">
      <c r="A6" s="77" t="n">
        <v>0.054</v>
      </c>
      <c r="B6" s="78" t="n">
        <f aca="false">IFERROR((SUMPRODUCT('DCF - Modèle'!$B$45:$F$45,1/(1+$A6)^'DCF - Modèle'!$B$46:$F$46)+('DCF - Modèle'!$F$45*(1+B$3))/($A6-B$3)/(1+$A6)^'DCF - Modèle'!$F$46-'DCF - Modèle'!$B$11)/'DCF - Modèle'!$B$12,"n/a")</f>
        <v>210.451428272141</v>
      </c>
      <c r="C6" s="78" t="n">
        <f aca="false">IFERROR((SUMPRODUCT('DCF - Modèle'!$B$45:$F$45,1/(1+$A6)^'DCF - Modèle'!$B$46:$F$46)+('DCF - Modèle'!$F$45*(1+C$3))/($A6-C$3)/(1+$A6)^'DCF - Modèle'!$F$46-'DCF - Modèle'!$B$11)/'DCF - Modèle'!$B$12,"n/a")</f>
        <v>241.500016969549</v>
      </c>
      <c r="D6" s="78" t="n">
        <f aca="false">IFERROR((SUMPRODUCT('DCF - Modèle'!$B$45:$F$45,1/(1+$A6)^'DCF - Modèle'!$B$46:$F$46)+('DCF - Modèle'!$F$45*(1+D$3))/($A6-D$3)/(1+$A6)^'DCF - Modèle'!$F$46-'DCF - Modèle'!$B$11)/'DCF - Modèle'!$B$12,"n/a")</f>
        <v>281.680543519137</v>
      </c>
      <c r="E6" s="78" t="n">
        <f aca="false">IFERROR((SUMPRODUCT('DCF - Modèle'!$B$45:$F$45,1/(1+$A6)^'DCF - Modèle'!$B$46:$F$46)+('DCF - Modèle'!$F$45*(1+E$3))/($A6-E$3)/(1+$A6)^'DCF - Modèle'!$F$46-'DCF - Modèle'!$B$11)/'DCF - Modèle'!$B$12,"n/a")</f>
        <v>335.716424051341</v>
      </c>
      <c r="F6" s="78" t="n">
        <f aca="false">IFERROR((SUMPRODUCT('DCF - Modèle'!$B$45:$F$45,1/(1+$A6)^'DCF - Modèle'!$B$46:$F$46)+('DCF - Modèle'!$F$45*(1+F$3))/($A6-F$3)/(1+$A6)^'DCF - Modèle'!$F$46-'DCF - Modèle'!$B$11)/'DCF - Modèle'!$B$12,"n/a")</f>
        <v>412.267254805296</v>
      </c>
    </row>
    <row r="7" customFormat="false" ht="15" hidden="false" customHeight="false" outlineLevel="0" collapsed="false">
      <c r="A7" s="77" t="n">
        <v>0.064</v>
      </c>
      <c r="B7" s="78" t="n">
        <f aca="false">IFERROR((SUMPRODUCT('DCF - Modèle'!$B$45:$F$45,1/(1+$A7)^'DCF - Modèle'!$B$46:$F$46)+('DCF - Modèle'!$F$45*(1+B$3))/($A7-B$3)/(1+$A7)^'DCF - Modèle'!$F$46-'DCF - Modèle'!$B$11)/'DCF - Modèle'!$B$12,"n/a")</f>
        <v>157.268522927346</v>
      </c>
      <c r="C7" s="78" t="n">
        <f aca="false">IFERROR((SUMPRODUCT('DCF - Modèle'!$B$45:$F$45,1/(1+$A7)^'DCF - Modèle'!$B$46:$F$46)+('DCF - Modèle'!$F$45*(1+C$3))/($A7-C$3)/(1+$A7)^'DCF - Modèle'!$F$46-'DCF - Modèle'!$B$11)/'DCF - Modèle'!$B$12,"n/a")</f>
        <v>176.657961743967</v>
      </c>
      <c r="D7" s="78" t="n">
        <f aca="false">IFERROR((SUMPRODUCT('DCF - Modèle'!$B$45:$F$45,1/(1+$A7)^'DCF - Modèle'!$B$46:$F$46)+('DCF - Modèle'!$F$45*(1+D$3))/($A7-D$3)/(1+$A7)^'DCF - Modèle'!$F$46-'DCF - Modèle'!$B$11)/'DCF - Modèle'!$B$12,"n/a")</f>
        <v>200.454091200729</v>
      </c>
      <c r="E7" s="78" t="n">
        <f aca="false">IFERROR((SUMPRODUCT('DCF - Modèle'!$B$45:$F$45,1/(1+$A7)^'DCF - Modèle'!$B$46:$F$46)+('DCF - Modèle'!$F$45*(1+E$3))/($A7-E$3)/(1+$A7)^'DCF - Modèle'!$F$46-'DCF - Modèle'!$B$11)/'DCF - Modèle'!$B$12,"n/a")</f>
        <v>230.351792313071</v>
      </c>
      <c r="F7" s="78" t="n">
        <f aca="false">IFERROR((SUMPRODUCT('DCF - Modèle'!$B$45:$F$45,1/(1+$A7)^'DCF - Modèle'!$B$46:$F$46)+('DCF - Modèle'!$F$45*(1+F$3))/($A7-F$3)/(1+$A7)^'DCF - Modèle'!$F$46-'DCF - Modèle'!$B$11)/'DCF - Modèle'!$B$12,"n/a")</f>
        <v>269.042934929043</v>
      </c>
    </row>
    <row r="8" customFormat="false" ht="15" hidden="false" customHeight="false" outlineLevel="0" collapsed="false">
      <c r="A8" s="77" t="n">
        <v>0.074</v>
      </c>
      <c r="B8" s="78" t="n">
        <f aca="false">IFERROR((SUMPRODUCT('DCF - Modèle'!$B$45:$F$45,1/(1+$A8)^'DCF - Modèle'!$B$46:$F$46)+('DCF - Modèle'!$F$45*(1+B$3))/($A8-B$3)/(1+$A8)^'DCF - Modèle'!$F$46-'DCF - Modèle'!$B$11)/'DCF - Modèle'!$B$12,"n/a")</f>
        <v>120.706941413088</v>
      </c>
      <c r="C8" s="78" t="n">
        <f aca="false">IFERROR((SUMPRODUCT('DCF - Modèle'!$B$45:$F$45,1/(1+$A8)^'DCF - Modèle'!$B$46:$F$46)+('DCF - Modèle'!$F$45*(1+C$3))/($A8-C$3)/(1+$A8)^'DCF - Modèle'!$F$46-'DCF - Modèle'!$B$11)/'DCF - Modèle'!$B$12,"n/a")</f>
        <v>133.794917119416</v>
      </c>
      <c r="D8" s="78" t="n">
        <f aca="false">IFERROR((SUMPRODUCT('DCF - Modèle'!$B$45:$F$45,1/(1+$A8)^'DCF - Modèle'!$B$46:$F$46)+('DCF - Modèle'!$F$45*(1+D$3))/($A8-D$3)/(1+$A8)^'DCF - Modèle'!$F$46-'DCF - Modèle'!$B$11)/'DCF - Modèle'!$B$12,"n/a")</f>
        <v>149.306592030619</v>
      </c>
      <c r="E8" s="78" t="n">
        <f aca="false">IFERROR((SUMPRODUCT('DCF - Modèle'!$B$45:$F$45,1/(1+$A8)^'DCF - Modèle'!$B$46:$F$46)+('DCF - Modèle'!$F$45*(1+E$3))/($A8-E$3)/(1+$A8)^'DCF - Modèle'!$F$46-'DCF - Modèle'!$B$11)/'DCF - Modèle'!$B$12,"n/a")</f>
        <v>167.983914882885</v>
      </c>
      <c r="F8" s="78" t="n">
        <f aca="false">IFERROR((SUMPRODUCT('DCF - Modèle'!$B$45:$F$45,1/(1+$A8)^'DCF - Modèle'!$B$46:$F$46)+('DCF - Modèle'!$F$45*(1+F$3))/($A8-F$3)/(1+$A8)^'DCF - Modèle'!$F$46-'DCF - Modèle'!$B$11)/'DCF - Modèle'!$B$12,"n/a")</f>
        <v>190.906083837937</v>
      </c>
    </row>
  </sheetData>
  <conditionalFormatting sqref="B4:F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3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7" min="5" style="0" width="11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95</v>
      </c>
    </row>
    <row r="3" customFormat="false" ht="15" hidden="false" customHeight="false" outlineLevel="0" collapsed="false">
      <c r="A3" s="75" t="s">
        <v>96</v>
      </c>
      <c r="B3" s="75" t="s">
        <v>97</v>
      </c>
      <c r="C3" s="75" t="s">
        <v>98</v>
      </c>
      <c r="D3" s="75" t="s">
        <v>99</v>
      </c>
      <c r="E3" s="75" t="s">
        <v>100</v>
      </c>
      <c r="F3" s="75" t="s">
        <v>101</v>
      </c>
      <c r="G3" s="75" t="s">
        <v>102</v>
      </c>
      <c r="H3" s="75" t="s">
        <v>103</v>
      </c>
    </row>
    <row r="4" customFormat="false" ht="15" hidden="false" customHeight="false" outlineLevel="0" collapsed="false">
      <c r="A4" s="79" t="s">
        <v>104</v>
      </c>
      <c r="B4" s="80" t="s">
        <v>105</v>
      </c>
      <c r="C4" s="81" t="n">
        <v>37657.624576</v>
      </c>
      <c r="D4" s="81" t="n">
        <v>50388.619264</v>
      </c>
      <c r="E4" s="82" t="n">
        <v>17.40101</v>
      </c>
      <c r="F4" s="82" t="n">
        <v>19.723001</v>
      </c>
      <c r="G4" s="82" t="n">
        <v>16.424</v>
      </c>
      <c r="H4" s="82" t="n">
        <v>5.777</v>
      </c>
    </row>
    <row r="5" customFormat="false" ht="15" hidden="false" customHeight="false" outlineLevel="0" collapsed="false">
      <c r="A5" s="79" t="s">
        <v>106</v>
      </c>
      <c r="B5" s="80" t="s">
        <v>107</v>
      </c>
      <c r="C5" s="81" t="n">
        <v>33387.126784</v>
      </c>
      <c r="D5" s="81" t="n">
        <v>41511.489536</v>
      </c>
      <c r="E5" s="82" t="n">
        <v>18.311558</v>
      </c>
      <c r="F5" s="82" t="n">
        <v>16.446196</v>
      </c>
      <c r="G5" s="82" t="n">
        <v>14.197</v>
      </c>
      <c r="H5" s="82" t="n">
        <v>4.28</v>
      </c>
    </row>
    <row r="6" customFormat="false" ht="15" hidden="false" customHeight="false" outlineLevel="0" collapsed="false">
      <c r="A6" s="79" t="s">
        <v>108</v>
      </c>
      <c r="B6" s="80" t="s">
        <v>109</v>
      </c>
      <c r="C6" s="81" t="n">
        <v>109246.201856</v>
      </c>
      <c r="D6" s="81" t="n">
        <v>128096.198656</v>
      </c>
      <c r="E6" s="82" t="n">
        <v>55.393063</v>
      </c>
      <c r="F6" s="82" t="n">
        <v>30.687695</v>
      </c>
      <c r="G6" s="82" t="n">
        <v>22.703</v>
      </c>
      <c r="H6" s="82" t="n">
        <v>3.341</v>
      </c>
    </row>
    <row r="7" customFormat="false" ht="15" hidden="false" customHeight="false" outlineLevel="0" collapsed="false">
      <c r="A7" s="79" t="s">
        <v>110</v>
      </c>
      <c r="B7" s="80" t="s">
        <v>111</v>
      </c>
      <c r="C7" s="81" t="n">
        <v>1285.115264</v>
      </c>
      <c r="D7" s="81" t="n">
        <v>5016.429568</v>
      </c>
      <c r="E7" s="82" t="n">
        <v>10.21212</v>
      </c>
      <c r="F7" s="82" t="n">
        <v>12.911877</v>
      </c>
      <c r="G7" s="82" t="n">
        <v>11.002</v>
      </c>
      <c r="H7" s="82" t="n">
        <v>2.276</v>
      </c>
    </row>
    <row r="8" customFormat="false" ht="15" hidden="false" customHeight="false" outlineLevel="0" collapsed="false">
      <c r="A8" s="79" t="s">
        <v>112</v>
      </c>
      <c r="B8" s="80" t="s">
        <v>113</v>
      </c>
      <c r="C8" s="81" t="n">
        <v>9732.646912</v>
      </c>
      <c r="D8" s="81" t="n">
        <v>14690.663424</v>
      </c>
      <c r="E8" s="82" t="n">
        <v>16.668556</v>
      </c>
      <c r="F8" s="82" t="n">
        <v>14.104143</v>
      </c>
      <c r="G8" s="82" t="n">
        <v>14.353</v>
      </c>
      <c r="H8" s="82" t="n">
        <v>2.922</v>
      </c>
    </row>
    <row r="9" customFormat="false" ht="15" hidden="false" customHeight="false" outlineLevel="0" collapsed="false">
      <c r="A9" s="79" t="s">
        <v>114</v>
      </c>
      <c r="B9" s="80" t="s">
        <v>115</v>
      </c>
      <c r="C9" s="81" t="n">
        <v>42302.922752</v>
      </c>
      <c r="D9" s="81" t="n">
        <v>47044.263936</v>
      </c>
      <c r="E9" s="82" t="n">
        <v>30.953703</v>
      </c>
      <c r="F9" s="82" t="n">
        <v>24.398611</v>
      </c>
      <c r="G9" s="82" t="n">
        <v>20.679</v>
      </c>
      <c r="H9" s="82" t="n">
        <v>3.787</v>
      </c>
    </row>
    <row r="10" customFormat="false" ht="15" hidden="false" customHeight="false" outlineLevel="0" collapsed="false">
      <c r="A10" s="79" t="s">
        <v>116</v>
      </c>
      <c r="B10" s="80" t="s">
        <v>117</v>
      </c>
      <c r="C10" s="81" t="n">
        <v>23762.020352</v>
      </c>
      <c r="D10" s="81" t="n">
        <v>31701.23776</v>
      </c>
      <c r="E10" s="82" t="n">
        <v>20.045979</v>
      </c>
      <c r="F10" s="82" t="n">
        <v>16.881163</v>
      </c>
      <c r="G10" s="82" t="n">
        <v>14.989</v>
      </c>
      <c r="H10" s="82" t="n">
        <v>2.4</v>
      </c>
    </row>
    <row r="12" customFormat="false" ht="15" hidden="false" customHeight="false" outlineLevel="0" collapsed="false">
      <c r="A12" s="2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22"/>
    <col collapsed="false" customWidth="true" hidden="false" outlineLevel="0" max="4" min="4" style="0" width="29"/>
  </cols>
  <sheetData>
    <row r="1" customFormat="false" ht="17.35" hidden="false" customHeight="false" outlineLevel="0" collapsed="false">
      <c r="A1" s="1" t="s">
        <v>119</v>
      </c>
    </row>
    <row r="3" customFormat="false" ht="15" hidden="false" customHeight="false" outlineLevel="0" collapsed="false">
      <c r="A3" s="83" t="s">
        <v>120</v>
      </c>
    </row>
    <row r="4" customFormat="false" ht="15" hidden="false" customHeight="false" outlineLevel="0" collapsed="false">
      <c r="A4" s="80" t="s">
        <v>121</v>
      </c>
      <c r="B4" s="84" t="n">
        <v>26885</v>
      </c>
    </row>
    <row r="5" customFormat="false" ht="15" hidden="false" customHeight="false" outlineLevel="0" collapsed="false">
      <c r="A5" s="80" t="s">
        <v>122</v>
      </c>
      <c r="B5" s="84" t="n">
        <v>14678</v>
      </c>
    </row>
    <row r="6" customFormat="false" ht="15" hidden="false" customHeight="false" outlineLevel="0" collapsed="false">
      <c r="A6" s="80" t="s">
        <v>123</v>
      </c>
      <c r="B6" s="84" t="n">
        <v>8563</v>
      </c>
    </row>
    <row r="8" customFormat="false" ht="15" hidden="false" customHeight="false" outlineLevel="0" collapsed="false">
      <c r="A8" s="80" t="s">
        <v>48</v>
      </c>
      <c r="B8" s="85" t="n">
        <f aca="false">'DCF - Modèle'!$B$11</f>
        <v>54040</v>
      </c>
    </row>
    <row r="9" customFormat="false" ht="15" hidden="false" customHeight="false" outlineLevel="0" collapsed="false">
      <c r="A9" s="80" t="s">
        <v>49</v>
      </c>
      <c r="B9" s="86" t="n">
        <f aca="false">'DCF - Modèle'!$B$12</f>
        <v>707.641552562037</v>
      </c>
    </row>
    <row r="12" customFormat="false" ht="15" hidden="false" customHeight="false" outlineLevel="0" collapsed="false">
      <c r="A12" s="75" t="s">
        <v>124</v>
      </c>
      <c r="B12" s="75" t="s">
        <v>125</v>
      </c>
      <c r="C12" s="75" t="s">
        <v>126</v>
      </c>
      <c r="D12" s="75" t="s">
        <v>127</v>
      </c>
    </row>
    <row r="13" customFormat="false" ht="15" hidden="false" customHeight="false" outlineLevel="0" collapsed="false">
      <c r="A13" s="79" t="s">
        <v>102</v>
      </c>
      <c r="B13" s="82" t="n">
        <f aca="false">MEDIAN('Comps - Peers'!G:G)</f>
        <v>14.989</v>
      </c>
      <c r="C13" s="81" t="n">
        <f aca="false">B13*$B$5</f>
        <v>220008.542</v>
      </c>
      <c r="D13" s="78" t="n">
        <f aca="false">(C13-$B$8)/$B$9</f>
        <v>234.537586719019</v>
      </c>
    </row>
    <row r="14" customFormat="false" ht="15" hidden="false" customHeight="false" outlineLevel="0" collapsed="false">
      <c r="A14" s="79" t="s">
        <v>103</v>
      </c>
      <c r="B14" s="82" t="n">
        <f aca="false">MEDIAN('Comps - Peers'!H:H)</f>
        <v>3.341</v>
      </c>
      <c r="C14" s="81" t="n">
        <f aca="false">B14*$B$4</f>
        <v>89822.785</v>
      </c>
      <c r="D14" s="78" t="n">
        <f aca="false">(C14-$B$8)/$B$9</f>
        <v>50.5662575500935</v>
      </c>
    </row>
    <row r="15" customFormat="false" ht="15" hidden="false" customHeight="false" outlineLevel="0" collapsed="false">
      <c r="A15" s="79" t="s">
        <v>100</v>
      </c>
      <c r="B15" s="82" t="n">
        <f aca="false">MEDIAN('Comps - Peers'!E:E)</f>
        <v>18.311558</v>
      </c>
      <c r="C15" s="81" t="n">
        <f aca="false">B15*$B$6</f>
        <v>156801.871154</v>
      </c>
      <c r="D15" s="78" t="n">
        <f aca="false">C15/$B$9</f>
        <v>221.583753224064</v>
      </c>
    </row>
    <row r="16" customFormat="false" ht="15" hidden="false" customHeight="false" outlineLevel="0" collapsed="false">
      <c r="A16" s="79" t="s">
        <v>128</v>
      </c>
      <c r="D16" s="87" t="n">
        <f aca="false">AVERAGE(D13:D15)</f>
        <v>168.895865831059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9"/>
  </cols>
  <sheetData>
    <row r="1" customFormat="false" ht="17.35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4" customFormat="false" ht="15" hidden="false" customHeight="false" outlineLevel="0" collapsed="false">
      <c r="A4" s="75" t="s">
        <v>124</v>
      </c>
      <c r="B4" s="75" t="s">
        <v>131</v>
      </c>
      <c r="C4" s="75" t="s">
        <v>132</v>
      </c>
      <c r="D4" s="75" t="s">
        <v>133</v>
      </c>
    </row>
    <row r="5" customFormat="false" ht="15" hidden="false" customHeight="false" outlineLevel="0" collapsed="false">
      <c r="A5" s="79" t="s">
        <v>134</v>
      </c>
      <c r="B5" s="78" t="n">
        <v>170.589454836229</v>
      </c>
      <c r="C5" s="78" t="n">
        <f aca="false">D5-B5</f>
        <v>298.661135954482</v>
      </c>
      <c r="D5" s="78" t="n">
        <v>469.250590790712</v>
      </c>
    </row>
    <row r="6" customFormat="false" ht="15" hidden="false" customHeight="false" outlineLevel="0" collapsed="false">
      <c r="A6" s="79" t="s">
        <v>135</v>
      </c>
      <c r="B6" s="78" t="n">
        <v>50.5662575500935</v>
      </c>
      <c r="C6" s="78" t="n">
        <f aca="false">D6-B6</f>
        <v>183.971329168926</v>
      </c>
      <c r="D6" s="78" t="n">
        <v>234.537586719019</v>
      </c>
    </row>
    <row r="7" customFormat="false" ht="15" hidden="false" customHeight="false" outlineLevel="0" collapsed="false">
      <c r="A7" s="79" t="s">
        <v>136</v>
      </c>
      <c r="B7" s="78" t="n">
        <v>247.65</v>
      </c>
      <c r="C7" s="78" t="n">
        <f aca="false">D7-B7</f>
        <v>94.1</v>
      </c>
      <c r="D7" s="78" t="n">
        <v>341.75</v>
      </c>
    </row>
    <row r="8" customFormat="false" ht="15" hidden="false" customHeight="false" outlineLevel="0" collapsed="false">
      <c r="A8" s="79" t="s">
        <v>3</v>
      </c>
      <c r="B8" s="78" t="n">
        <v>246.9988</v>
      </c>
      <c r="C8" s="78" t="n">
        <f aca="false">D8-B8</f>
        <v>2.48240000000001</v>
      </c>
      <c r="D8" s="78" t="n">
        <v>249.4812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5" min="3" style="0" width="24"/>
  </cols>
  <sheetData>
    <row r="1" customFormat="false" ht="17.35" hidden="false" customHeight="false" outlineLevel="0" collapsed="false">
      <c r="A1" s="1" t="s">
        <v>137</v>
      </c>
    </row>
    <row r="3" customFormat="false" ht="15" hidden="false" customHeight="false" outlineLevel="0" collapsed="false">
      <c r="A3" s="75" t="s">
        <v>138</v>
      </c>
      <c r="B3" s="75" t="s">
        <v>139</v>
      </c>
      <c r="C3" s="75" t="s">
        <v>140</v>
      </c>
      <c r="D3" s="75" t="s">
        <v>141</v>
      </c>
      <c r="E3" s="75" t="s">
        <v>142</v>
      </c>
    </row>
    <row r="4" customFormat="false" ht="15" hidden="false" customHeight="false" outlineLevel="0" collapsed="false">
      <c r="A4" s="79" t="s">
        <v>143</v>
      </c>
      <c r="B4" s="88" t="n">
        <v>-201.083</v>
      </c>
      <c r="C4" s="88" t="n">
        <v>-45.435</v>
      </c>
      <c r="D4" s="88" t="n">
        <v>-62.123054615756</v>
      </c>
      <c r="E4" s="88" t="n">
        <v>-49.905662108837</v>
      </c>
    </row>
    <row r="5" customFormat="false" ht="15" hidden="false" customHeight="false" outlineLevel="0" collapsed="false">
      <c r="A5" s="79" t="s">
        <v>144</v>
      </c>
      <c r="B5" s="88" t="n">
        <v>2.11E-007</v>
      </c>
      <c r="C5" s="88" t="n">
        <v>1.95E-007</v>
      </c>
      <c r="D5" s="88" t="n">
        <v>2.05027E-007</v>
      </c>
      <c r="E5" s="88" t="n">
        <v>2.14187E-007</v>
      </c>
    </row>
    <row r="6" customFormat="false" ht="15" hidden="false" customHeight="false" outlineLevel="0" collapsed="false">
      <c r="A6" s="79" t="s">
        <v>145</v>
      </c>
      <c r="B6" s="88" t="n">
        <v>11856</v>
      </c>
      <c r="C6" s="88" t="n">
        <v>14094</v>
      </c>
      <c r="D6" s="88" t="n">
        <v>14251</v>
      </c>
      <c r="E6" s="88" t="n">
        <v>14911</v>
      </c>
    </row>
    <row r="7" customFormat="false" ht="15" hidden="false" customHeight="false" outlineLevel="0" collapsed="false">
      <c r="A7" s="79" t="s">
        <v>146</v>
      </c>
      <c r="B7" s="88" t="n">
        <v>-953</v>
      </c>
      <c r="C7" s="88" t="n">
        <v>-233</v>
      </c>
      <c r="D7" s="88" t="n">
        <v>-303</v>
      </c>
      <c r="E7" s="88" t="n">
        <v>-233</v>
      </c>
    </row>
    <row r="8" customFormat="false" ht="15" hidden="false" customHeight="false" outlineLevel="0" collapsed="false">
      <c r="A8" s="79" t="s">
        <v>147</v>
      </c>
      <c r="B8" s="88" t="n">
        <v>-953</v>
      </c>
      <c r="C8" s="88" t="n">
        <v>-233</v>
      </c>
      <c r="D8" s="88" t="n">
        <v>-303</v>
      </c>
      <c r="E8" s="88" t="n">
        <v>-233</v>
      </c>
    </row>
    <row r="9" customFormat="false" ht="15" hidden="false" customHeight="false" outlineLevel="0" collapsed="false">
      <c r="A9" s="79" t="s">
        <v>148</v>
      </c>
      <c r="B9" s="88" t="n">
        <v>6177</v>
      </c>
      <c r="C9" s="88" t="n">
        <v>8469</v>
      </c>
      <c r="D9" s="88" t="n">
        <v>8223</v>
      </c>
      <c r="E9" s="88" t="n">
        <v>8563</v>
      </c>
    </row>
    <row r="10" customFormat="false" ht="15" hidden="false" customHeight="false" outlineLevel="0" collapsed="false">
      <c r="A10" s="79" t="s">
        <v>149</v>
      </c>
      <c r="B10" s="88" t="n">
        <v>1871</v>
      </c>
      <c r="C10" s="88" t="n">
        <v>1978</v>
      </c>
      <c r="D10" s="88" t="n">
        <v>2097</v>
      </c>
      <c r="E10" s="88" t="n">
        <v>2199</v>
      </c>
    </row>
    <row r="11" customFormat="false" ht="15" hidden="false" customHeight="false" outlineLevel="0" collapsed="false">
      <c r="A11" s="79" t="s">
        <v>150</v>
      </c>
      <c r="B11" s="88" t="n">
        <v>8474</v>
      </c>
      <c r="C11" s="88" t="n">
        <v>9335</v>
      </c>
      <c r="D11" s="88" t="n">
        <v>9560</v>
      </c>
      <c r="E11" s="88" t="n">
        <v>9709</v>
      </c>
    </row>
    <row r="12" customFormat="false" ht="15" hidden="false" customHeight="false" outlineLevel="0" collapsed="false">
      <c r="A12" s="79" t="s">
        <v>151</v>
      </c>
      <c r="B12" s="88" t="n">
        <v>10903</v>
      </c>
      <c r="C12" s="88" t="n">
        <v>13861</v>
      </c>
      <c r="D12" s="88" t="n">
        <v>13948</v>
      </c>
      <c r="E12" s="88" t="n">
        <v>14678</v>
      </c>
    </row>
    <row r="13" customFormat="false" ht="15" hidden="false" customHeight="false" outlineLevel="0" collapsed="false">
      <c r="A13" s="79" t="s">
        <v>152</v>
      </c>
      <c r="B13" s="88" t="n">
        <v>9032</v>
      </c>
      <c r="C13" s="88" t="n">
        <v>11883</v>
      </c>
      <c r="D13" s="88" t="n">
        <v>11851</v>
      </c>
      <c r="E13" s="88" t="n">
        <v>12479</v>
      </c>
    </row>
    <row r="14" customFormat="false" ht="15" hidden="false" customHeight="false" outlineLevel="0" collapsed="false">
      <c r="A14" s="79" t="s">
        <v>153</v>
      </c>
      <c r="B14" s="88" t="n">
        <v>-1163</v>
      </c>
      <c r="C14" s="88" t="n">
        <v>-1174</v>
      </c>
      <c r="D14" s="88" t="n">
        <v>-1403</v>
      </c>
      <c r="E14" s="88" t="n">
        <v>-1500</v>
      </c>
    </row>
    <row r="15" customFormat="false" ht="15" hidden="false" customHeight="false" outlineLevel="0" collapsed="false">
      <c r="A15" s="79" t="s">
        <v>154</v>
      </c>
      <c r="B15" s="88" t="n">
        <v>1207</v>
      </c>
      <c r="C15" s="88" t="n">
        <v>1361</v>
      </c>
      <c r="D15" s="88" t="n">
        <v>1506</v>
      </c>
      <c r="E15" s="88" t="n">
        <v>1582</v>
      </c>
    </row>
    <row r="16" customFormat="false" ht="15" hidden="false" customHeight="false" outlineLevel="0" collapsed="false">
      <c r="A16" s="79" t="s">
        <v>155</v>
      </c>
      <c r="B16" s="88" t="n">
        <v>44</v>
      </c>
      <c r="C16" s="88" t="n">
        <v>187</v>
      </c>
      <c r="D16" s="88" t="n">
        <v>103</v>
      </c>
      <c r="E16" s="88" t="n">
        <v>82</v>
      </c>
    </row>
    <row r="17" customFormat="false" ht="15" hidden="false" customHeight="false" outlineLevel="0" collapsed="false">
      <c r="A17" s="79" t="s">
        <v>156</v>
      </c>
      <c r="B17" s="88" t="n">
        <v>6928.917</v>
      </c>
      <c r="C17" s="88" t="n">
        <v>8656.565</v>
      </c>
      <c r="D17" s="88" t="n">
        <v>8463.87694538424</v>
      </c>
      <c r="E17" s="88" t="n">
        <v>8746.09433789116</v>
      </c>
    </row>
    <row r="18" customFormat="false" ht="15" hidden="false" customHeight="false" outlineLevel="0" collapsed="false">
      <c r="A18" s="79" t="s">
        <v>157</v>
      </c>
      <c r="B18" s="88" t="n">
        <v>6177</v>
      </c>
      <c r="C18" s="88" t="n">
        <v>8469</v>
      </c>
      <c r="D18" s="88" t="n">
        <v>8223</v>
      </c>
      <c r="E18" s="88" t="n">
        <v>8563</v>
      </c>
    </row>
    <row r="19" customFormat="false" ht="15" hidden="false" customHeight="false" outlineLevel="0" collapsed="false">
      <c r="A19" s="79" t="s">
        <v>158</v>
      </c>
      <c r="B19" s="88" t="n">
        <v>12837</v>
      </c>
      <c r="C19" s="88" t="n">
        <v>13748</v>
      </c>
      <c r="D19" s="88" t="n">
        <v>14069</v>
      </c>
      <c r="E19" s="88" t="n">
        <v>14491</v>
      </c>
    </row>
    <row r="20" customFormat="false" ht="15" hidden="false" customHeight="false" outlineLevel="0" collapsed="false">
      <c r="A20" s="79" t="s">
        <v>159</v>
      </c>
      <c r="B20" s="88" t="n">
        <v>4376</v>
      </c>
      <c r="C20" s="88" t="n">
        <v>4774</v>
      </c>
      <c r="D20" s="88" t="n">
        <v>4917</v>
      </c>
      <c r="E20" s="88" t="n">
        <v>4976</v>
      </c>
    </row>
    <row r="21" customFormat="false" ht="15" hidden="false" customHeight="false" outlineLevel="0" collapsed="false">
      <c r="A21" s="79" t="s">
        <v>160</v>
      </c>
      <c r="B21" s="88" t="n">
        <v>9371</v>
      </c>
      <c r="C21" s="88" t="n">
        <v>11647</v>
      </c>
      <c r="D21" s="88" t="n">
        <v>11712</v>
      </c>
      <c r="E21" s="88" t="n">
        <v>12393</v>
      </c>
    </row>
    <row r="22" customFormat="false" ht="15" hidden="false" customHeight="false" outlineLevel="0" collapsed="false">
      <c r="A22" s="79" t="s">
        <v>161</v>
      </c>
      <c r="B22" s="88" t="n">
        <v>741.3</v>
      </c>
      <c r="C22" s="88" t="n">
        <v>732.3</v>
      </c>
      <c r="D22" s="88" t="n">
        <v>721.9</v>
      </c>
      <c r="E22" s="88" t="n">
        <v>716.4</v>
      </c>
    </row>
    <row r="23" customFormat="false" ht="15" hidden="false" customHeight="false" outlineLevel="0" collapsed="false">
      <c r="A23" s="79" t="s">
        <v>162</v>
      </c>
      <c r="B23" s="88" t="n">
        <v>731.3</v>
      </c>
      <c r="C23" s="88" t="n">
        <v>722.7</v>
      </c>
      <c r="D23" s="88" t="n">
        <v>715.2</v>
      </c>
      <c r="E23" s="88" t="n">
        <v>710.6</v>
      </c>
    </row>
    <row r="24" customFormat="false" ht="15" hidden="false" customHeight="false" outlineLevel="0" collapsed="false">
      <c r="A24" s="79" t="s">
        <v>163</v>
      </c>
      <c r="B24" s="88" t="n">
        <v>8.33E-006</v>
      </c>
      <c r="C24" s="88" t="n">
        <v>1.156E-005</v>
      </c>
      <c r="D24" s="88" t="n">
        <v>1.139E-005</v>
      </c>
      <c r="E24" s="88" t="n">
        <v>1.195E-005</v>
      </c>
    </row>
    <row r="25" customFormat="false" ht="15" hidden="false" customHeight="false" outlineLevel="0" collapsed="false">
      <c r="A25" s="79" t="s">
        <v>164</v>
      </c>
      <c r="B25" s="88" t="n">
        <v>8.447149E-006</v>
      </c>
      <c r="C25" s="88" t="n">
        <v>1.1718279E-005</v>
      </c>
      <c r="D25" s="88" t="n">
        <v>1.1497483E-005</v>
      </c>
      <c r="E25" s="88" t="n">
        <v>1.205038E-005</v>
      </c>
    </row>
    <row r="26" customFormat="false" ht="15" hidden="false" customHeight="false" outlineLevel="0" collapsed="false">
      <c r="A26" s="79" t="s">
        <v>165</v>
      </c>
      <c r="B26" s="88" t="n">
        <v>6177</v>
      </c>
      <c r="C26" s="88" t="n">
        <v>8469</v>
      </c>
      <c r="D26" s="88" t="n">
        <v>8223</v>
      </c>
      <c r="E26" s="88" t="n">
        <v>8563</v>
      </c>
    </row>
    <row r="27" customFormat="false" ht="15" hidden="false" customHeight="false" outlineLevel="0" collapsed="false">
      <c r="A27" s="79" t="s">
        <v>166</v>
      </c>
      <c r="B27" s="88" t="n">
        <v>6177</v>
      </c>
      <c r="C27" s="88" t="n">
        <v>8469</v>
      </c>
      <c r="D27" s="88" t="n">
        <v>8223</v>
      </c>
      <c r="E27" s="88" t="n">
        <v>8563</v>
      </c>
    </row>
    <row r="28" customFormat="false" ht="15" hidden="false" customHeight="false" outlineLevel="0" collapsed="false">
      <c r="A28" s="79" t="s">
        <v>167</v>
      </c>
      <c r="B28" s="88" t="n">
        <v>6177</v>
      </c>
      <c r="C28" s="88" t="n">
        <v>8469</v>
      </c>
      <c r="D28" s="88" t="n">
        <v>8223</v>
      </c>
      <c r="E28" s="88" t="n">
        <v>8563</v>
      </c>
    </row>
    <row r="29" customFormat="false" ht="15" hidden="false" customHeight="false" outlineLevel="0" collapsed="false">
      <c r="A29" s="79" t="s">
        <v>168</v>
      </c>
      <c r="B29" s="88" t="n">
        <v>6177</v>
      </c>
      <c r="C29" s="88" t="n">
        <v>8469</v>
      </c>
      <c r="D29" s="88" t="n">
        <v>8224</v>
      </c>
      <c r="E29" s="88" t="n">
        <v>8563</v>
      </c>
    </row>
    <row r="30" customFormat="false" ht="15" hidden="false" customHeight="false" outlineLevel="0" collapsed="false">
      <c r="A30" s="79" t="s">
        <v>169</v>
      </c>
      <c r="B30" s="88" t="n">
        <v>6177</v>
      </c>
      <c r="C30" s="88" t="n">
        <v>8469</v>
      </c>
      <c r="D30" s="88" t="n">
        <v>8224</v>
      </c>
      <c r="E30" s="88" t="n">
        <v>8563</v>
      </c>
    </row>
    <row r="31" customFormat="false" ht="15" hidden="false" customHeight="false" outlineLevel="0" collapsed="false">
      <c r="A31" s="79" t="s">
        <v>170</v>
      </c>
      <c r="B31" s="88" t="n">
        <v>1648</v>
      </c>
      <c r="C31" s="88" t="n">
        <v>2053</v>
      </c>
      <c r="D31" s="88" t="n">
        <v>2121</v>
      </c>
      <c r="E31" s="88" t="n">
        <v>2334</v>
      </c>
    </row>
    <row r="32" customFormat="false" ht="15" hidden="false" customHeight="false" outlineLevel="0" collapsed="false">
      <c r="A32" s="79" t="s">
        <v>171</v>
      </c>
      <c r="B32" s="88" t="n">
        <v>7825</v>
      </c>
      <c r="C32" s="88" t="n">
        <v>10522</v>
      </c>
      <c r="D32" s="88" t="n">
        <v>10345</v>
      </c>
      <c r="E32" s="88" t="n">
        <v>10897</v>
      </c>
    </row>
    <row r="33" customFormat="false" ht="15" hidden="false" customHeight="false" outlineLevel="0" collapsed="false">
      <c r="A33" s="79" t="s">
        <v>172</v>
      </c>
      <c r="B33" s="88" t="n">
        <v>-1357</v>
      </c>
      <c r="C33" s="88" t="n">
        <v>-49</v>
      </c>
      <c r="D33" s="88" t="n">
        <v>-104</v>
      </c>
      <c r="E33" s="88" t="n">
        <v>2</v>
      </c>
    </row>
    <row r="34" customFormat="false" ht="15" hidden="false" customHeight="false" outlineLevel="0" collapsed="false">
      <c r="A34" s="79" t="s">
        <v>173</v>
      </c>
      <c r="B34" s="88" t="n">
        <v>-517</v>
      </c>
      <c r="C34" s="88" t="n">
        <v>31</v>
      </c>
      <c r="D34" s="88" t="n">
        <v>42</v>
      </c>
      <c r="E34" s="88" t="n">
        <v>45</v>
      </c>
    </row>
    <row r="35" customFormat="false" ht="15" hidden="false" customHeight="false" outlineLevel="0" collapsed="false">
      <c r="A35" s="79" t="s">
        <v>174</v>
      </c>
      <c r="B35" s="88" t="n">
        <v>-1087</v>
      </c>
      <c r="C35" s="88" t="n">
        <v>-252</v>
      </c>
      <c r="D35" s="88" t="n">
        <v>-297</v>
      </c>
      <c r="E35" s="88" t="n">
        <v>-193</v>
      </c>
    </row>
    <row r="36" customFormat="false" ht="15" hidden="false" customHeight="false" outlineLevel="0" collapsed="false">
      <c r="A36" s="79" t="s">
        <v>175</v>
      </c>
      <c r="B36" s="88" t="n">
        <v>-137</v>
      </c>
      <c r="C36" s="88" t="n">
        <v>7</v>
      </c>
      <c r="D36" s="88" t="n">
        <v>-100</v>
      </c>
      <c r="E36" s="88" t="n">
        <v>-97</v>
      </c>
    </row>
    <row r="37" customFormat="false" ht="15" hidden="false" customHeight="false" outlineLevel="0" collapsed="false">
      <c r="A37" s="79" t="s">
        <v>176</v>
      </c>
      <c r="B37" s="88" t="n">
        <v>60</v>
      </c>
      <c r="C37" s="88" t="n">
        <v>103</v>
      </c>
      <c r="D37" s="88" t="n">
        <v>94</v>
      </c>
      <c r="E37" s="88" t="n">
        <v>133</v>
      </c>
    </row>
    <row r="38" customFormat="false" ht="15" hidden="false" customHeight="false" outlineLevel="0" collapsed="false">
      <c r="A38" s="79" t="s">
        <v>177</v>
      </c>
      <c r="B38" s="88" t="n">
        <v>1010</v>
      </c>
      <c r="C38" s="88" t="n">
        <v>362</v>
      </c>
      <c r="D38" s="88" t="n">
        <v>291</v>
      </c>
      <c r="E38" s="88" t="n">
        <v>229</v>
      </c>
    </row>
    <row r="39" customFormat="false" ht="15" hidden="false" customHeight="false" outlineLevel="0" collapsed="false">
      <c r="A39" s="79" t="s">
        <v>178</v>
      </c>
      <c r="B39" s="88"/>
      <c r="C39" s="88"/>
      <c r="D39" s="88" t="n">
        <v>221</v>
      </c>
      <c r="E39" s="88"/>
    </row>
    <row r="40" customFormat="false" ht="15" hidden="false" customHeight="false" outlineLevel="0" collapsed="false">
      <c r="A40" s="79" t="s">
        <v>179</v>
      </c>
      <c r="B40" s="88" t="n">
        <v>113</v>
      </c>
      <c r="C40" s="88" t="n">
        <v>153</v>
      </c>
      <c r="D40" s="88" t="n">
        <v>157</v>
      </c>
      <c r="E40" s="88" t="n">
        <v>190</v>
      </c>
    </row>
    <row r="41" customFormat="false" ht="15" hidden="false" customHeight="false" outlineLevel="0" collapsed="false">
      <c r="A41" s="79" t="s">
        <v>180</v>
      </c>
      <c r="B41" s="88" t="n">
        <v>134</v>
      </c>
      <c r="C41" s="88" t="n">
        <v>19</v>
      </c>
      <c r="D41" s="88" t="n">
        <v>-6</v>
      </c>
      <c r="E41" s="88" t="n">
        <v>-40</v>
      </c>
    </row>
    <row r="42" customFormat="false" ht="15" hidden="false" customHeight="false" outlineLevel="0" collapsed="false">
      <c r="A42" s="79" t="s">
        <v>181</v>
      </c>
      <c r="B42" s="88" t="n">
        <v>-1163</v>
      </c>
      <c r="C42" s="88" t="n">
        <v>-1174</v>
      </c>
      <c r="D42" s="88" t="n">
        <v>-1403</v>
      </c>
      <c r="E42" s="88" t="n">
        <v>-1500</v>
      </c>
    </row>
    <row r="43" customFormat="false" ht="15" hidden="false" customHeight="false" outlineLevel="0" collapsed="false">
      <c r="A43" s="79" t="s">
        <v>182</v>
      </c>
      <c r="B43" s="88" t="n">
        <v>1207</v>
      </c>
      <c r="C43" s="88" t="n">
        <v>1361</v>
      </c>
      <c r="D43" s="88" t="n">
        <v>1506</v>
      </c>
      <c r="E43" s="88" t="n">
        <v>1582</v>
      </c>
    </row>
    <row r="44" customFormat="false" ht="15" hidden="false" customHeight="false" outlineLevel="0" collapsed="false">
      <c r="A44" s="79" t="s">
        <v>183</v>
      </c>
      <c r="B44" s="88" t="n">
        <v>44</v>
      </c>
      <c r="C44" s="88" t="n">
        <v>187</v>
      </c>
      <c r="D44" s="88" t="n">
        <v>103</v>
      </c>
      <c r="E44" s="88" t="n">
        <v>82</v>
      </c>
    </row>
    <row r="45" customFormat="false" ht="15" hidden="false" customHeight="false" outlineLevel="0" collapsed="false">
      <c r="A45" s="79" t="s">
        <v>184</v>
      </c>
      <c r="B45" s="88" t="n">
        <v>10345</v>
      </c>
      <c r="C45" s="88" t="n">
        <v>11747</v>
      </c>
      <c r="D45" s="88" t="n">
        <v>11851</v>
      </c>
      <c r="E45" s="88" t="n">
        <v>12394</v>
      </c>
    </row>
    <row r="46" customFormat="false" ht="15" hidden="false" customHeight="false" outlineLevel="0" collapsed="false">
      <c r="A46" s="79" t="s">
        <v>185</v>
      </c>
      <c r="B46" s="88" t="n">
        <v>2862</v>
      </c>
      <c r="C46" s="88" t="n">
        <v>2817</v>
      </c>
      <c r="D46" s="88" t="n">
        <v>2859</v>
      </c>
      <c r="E46" s="88" t="n">
        <v>3040</v>
      </c>
    </row>
    <row r="47" customFormat="false" ht="15" hidden="false" customHeight="false" outlineLevel="0" collapsed="false">
      <c r="A47" s="79" t="s">
        <v>186</v>
      </c>
      <c r="B47" s="88" t="n">
        <v>370</v>
      </c>
      <c r="C47" s="88" t="n">
        <v>382</v>
      </c>
      <c r="D47" s="88" t="n">
        <v>447</v>
      </c>
      <c r="E47" s="88" t="n">
        <v>457</v>
      </c>
    </row>
    <row r="48" customFormat="false" ht="15" hidden="false" customHeight="false" outlineLevel="0" collapsed="false">
      <c r="A48" s="79" t="s">
        <v>187</v>
      </c>
      <c r="B48" s="88" t="n">
        <v>370</v>
      </c>
      <c r="C48" s="88" t="n">
        <v>382</v>
      </c>
      <c r="D48" s="88" t="n">
        <v>447</v>
      </c>
      <c r="E48" s="88" t="n">
        <v>457</v>
      </c>
    </row>
    <row r="49" customFormat="false" ht="15" hidden="false" customHeight="false" outlineLevel="0" collapsed="false">
      <c r="A49" s="79" t="s">
        <v>188</v>
      </c>
      <c r="B49" s="88" t="n">
        <v>2492</v>
      </c>
      <c r="C49" s="88" t="n">
        <v>2435</v>
      </c>
      <c r="D49" s="88" t="n">
        <v>2412</v>
      </c>
      <c r="E49" s="88" t="n">
        <v>2583</v>
      </c>
    </row>
    <row r="50" customFormat="false" ht="15" hidden="false" customHeight="false" outlineLevel="0" collapsed="false">
      <c r="A50" s="79" t="s">
        <v>189</v>
      </c>
      <c r="B50" s="88" t="n">
        <v>13207</v>
      </c>
      <c r="C50" s="88" t="n">
        <v>14564</v>
      </c>
      <c r="D50" s="88" t="n">
        <v>14710</v>
      </c>
      <c r="E50" s="88" t="n">
        <v>15434</v>
      </c>
    </row>
    <row r="51" customFormat="false" ht="15" hidden="false" customHeight="false" outlineLevel="0" collapsed="false">
      <c r="A51" s="79" t="s">
        <v>190</v>
      </c>
      <c r="B51" s="88" t="n">
        <v>9975</v>
      </c>
      <c r="C51" s="88" t="n">
        <v>10931</v>
      </c>
      <c r="D51" s="88" t="n">
        <v>11210</v>
      </c>
      <c r="E51" s="88" t="n">
        <v>11451</v>
      </c>
    </row>
    <row r="52" customFormat="false" ht="15" hidden="false" customHeight="false" outlineLevel="0" collapsed="false">
      <c r="A52" s="79" t="s">
        <v>191</v>
      </c>
      <c r="B52" s="88" t="n">
        <v>23182</v>
      </c>
      <c r="C52" s="88" t="n">
        <v>25495</v>
      </c>
      <c r="D52" s="88" t="n">
        <v>25920</v>
      </c>
      <c r="E52" s="88" t="n">
        <v>26885</v>
      </c>
    </row>
    <row r="53" customFormat="false" ht="15" hidden="false" customHeight="false" outlineLevel="0" collapsed="false">
      <c r="A53" s="79" t="s">
        <v>192</v>
      </c>
      <c r="B53" s="88" t="n">
        <v>22854</v>
      </c>
      <c r="C53" s="88" t="n">
        <v>25179</v>
      </c>
      <c r="D53" s="88" t="n">
        <v>25497</v>
      </c>
      <c r="E53" s="88" t="n">
        <v>26238</v>
      </c>
    </row>
    <row r="55" customFormat="false" ht="15" hidden="false" customHeight="false" outlineLevel="0" collapsed="false">
      <c r="A55" s="2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0"/>
  </cols>
  <sheetData>
    <row r="1" customFormat="false" ht="17.35" hidden="false" customHeight="false" outlineLevel="0" collapsed="false">
      <c r="A1" s="1" t="s">
        <v>194</v>
      </c>
    </row>
    <row r="3" customFormat="false" ht="15" hidden="false" customHeight="false" outlineLevel="0" collapsed="false">
      <c r="A3" s="75" t="s">
        <v>138</v>
      </c>
      <c r="B3" s="75" t="s">
        <v>195</v>
      </c>
      <c r="C3" s="75" t="s">
        <v>139</v>
      </c>
      <c r="D3" s="75" t="s">
        <v>140</v>
      </c>
      <c r="E3" s="75" t="s">
        <v>141</v>
      </c>
      <c r="F3" s="75" t="s">
        <v>142</v>
      </c>
    </row>
    <row r="4" customFormat="false" ht="15" hidden="false" customHeight="false" outlineLevel="0" collapsed="false">
      <c r="A4" s="79" t="s">
        <v>196</v>
      </c>
      <c r="B4" s="88"/>
      <c r="C4" s="88" t="n">
        <v>929.3</v>
      </c>
      <c r="D4" s="88" t="n">
        <v>937.9</v>
      </c>
      <c r="E4" s="88" t="n">
        <v>945.4</v>
      </c>
      <c r="F4" s="88" t="n">
        <v>950</v>
      </c>
    </row>
    <row r="5" customFormat="false" ht="15" hidden="false" customHeight="false" outlineLevel="0" collapsed="false">
      <c r="A5" s="79" t="s">
        <v>197</v>
      </c>
      <c r="B5" s="88"/>
      <c r="C5" s="88" t="n">
        <v>731.3</v>
      </c>
      <c r="D5" s="88" t="n">
        <v>722.7</v>
      </c>
      <c r="E5" s="88" t="n">
        <v>715.2</v>
      </c>
      <c r="F5" s="88" t="n">
        <v>710.6</v>
      </c>
    </row>
    <row r="6" customFormat="false" ht="15" hidden="false" customHeight="false" outlineLevel="0" collapsed="false">
      <c r="A6" s="79" t="s">
        <v>198</v>
      </c>
      <c r="B6" s="88"/>
      <c r="C6" s="88" t="n">
        <v>1660.6</v>
      </c>
      <c r="D6" s="88" t="n">
        <v>1660.6</v>
      </c>
      <c r="E6" s="88" t="n">
        <v>1660.6</v>
      </c>
      <c r="F6" s="88" t="n">
        <v>1660.6</v>
      </c>
    </row>
    <row r="7" customFormat="false" ht="15" hidden="false" customHeight="false" outlineLevel="0" collapsed="false">
      <c r="A7" s="79" t="s">
        <v>199</v>
      </c>
      <c r="B7" s="88"/>
      <c r="C7" s="88" t="n">
        <v>33319.7</v>
      </c>
      <c r="D7" s="88" t="n">
        <v>34766</v>
      </c>
      <c r="E7" s="88" t="n">
        <v>37339</v>
      </c>
      <c r="F7" s="88" t="n">
        <v>39199</v>
      </c>
    </row>
    <row r="8" customFormat="false" ht="15" hidden="false" customHeight="false" outlineLevel="0" collapsed="false">
      <c r="A8" s="79" t="s">
        <v>200</v>
      </c>
      <c r="B8" s="88"/>
      <c r="C8" s="88" t="n">
        <v>48699</v>
      </c>
      <c r="D8" s="88" t="n">
        <v>53091</v>
      </c>
      <c r="E8" s="88" t="n">
        <v>51948</v>
      </c>
      <c r="F8" s="88" t="n">
        <v>54814</v>
      </c>
    </row>
    <row r="9" customFormat="false" ht="15" hidden="false" customHeight="false" outlineLevel="0" collapsed="false">
      <c r="A9" s="79" t="s">
        <v>201</v>
      </c>
      <c r="B9" s="88"/>
      <c r="C9" s="88" t="n">
        <v>-8903.8</v>
      </c>
      <c r="D9" s="88" t="n">
        <v>-7746</v>
      </c>
      <c r="E9" s="88" t="n">
        <v>-6941</v>
      </c>
      <c r="F9" s="88" t="n">
        <v>-5144</v>
      </c>
    </row>
    <row r="10" customFormat="false" ht="15" hidden="false" customHeight="false" outlineLevel="0" collapsed="false">
      <c r="A10" s="79" t="s">
        <v>202</v>
      </c>
      <c r="B10" s="88"/>
      <c r="C10" s="88" t="n">
        <v>29900.1</v>
      </c>
      <c r="D10" s="88" t="n">
        <v>34639</v>
      </c>
      <c r="E10" s="88" t="n">
        <v>34628</v>
      </c>
      <c r="F10" s="88" t="n">
        <v>38183</v>
      </c>
    </row>
    <row r="11" customFormat="false" ht="15" hidden="false" customHeight="false" outlineLevel="0" collapsed="false">
      <c r="A11" s="79" t="s">
        <v>203</v>
      </c>
      <c r="B11" s="88"/>
      <c r="C11" s="88" t="n">
        <v>1622.1</v>
      </c>
      <c r="D11" s="88" t="n">
        <v>1127</v>
      </c>
      <c r="E11" s="88" t="n">
        <v>738</v>
      </c>
      <c r="F11" s="88" t="n">
        <v>-198</v>
      </c>
    </row>
    <row r="12" customFormat="false" ht="15" hidden="false" customHeight="false" outlineLevel="0" collapsed="false">
      <c r="A12" s="79" t="s">
        <v>204</v>
      </c>
      <c r="B12" s="88"/>
      <c r="C12" s="88" t="n">
        <v>-8903.8</v>
      </c>
      <c r="D12" s="88" t="n">
        <v>-7746</v>
      </c>
      <c r="E12" s="88" t="n">
        <v>-6941</v>
      </c>
      <c r="F12" s="88" t="n">
        <v>-5144</v>
      </c>
    </row>
    <row r="13" customFormat="false" ht="15" hidden="false" customHeight="false" outlineLevel="0" collapsed="false">
      <c r="A13" s="79" t="s">
        <v>205</v>
      </c>
      <c r="B13" s="88"/>
      <c r="C13" s="88" t="n">
        <v>12795.5</v>
      </c>
      <c r="D13" s="88" t="n">
        <v>13746</v>
      </c>
      <c r="E13" s="88" t="n">
        <v>13524</v>
      </c>
      <c r="F13" s="88" t="n">
        <v>14841</v>
      </c>
    </row>
    <row r="14" customFormat="false" ht="15" hidden="false" customHeight="false" outlineLevel="0" collapsed="false">
      <c r="A14" s="79" t="s">
        <v>206</v>
      </c>
      <c r="B14" s="88"/>
      <c r="C14" s="88" t="n">
        <v>-6003.4</v>
      </c>
      <c r="D14" s="88" t="n">
        <v>-4706</v>
      </c>
      <c r="E14" s="88" t="n">
        <v>-3796</v>
      </c>
      <c r="F14" s="88" t="n">
        <v>-1790</v>
      </c>
    </row>
    <row r="15" customFormat="false" ht="15" hidden="false" customHeight="false" outlineLevel="0" collapsed="false">
      <c r="A15" s="79" t="s">
        <v>207</v>
      </c>
      <c r="B15" s="88"/>
      <c r="C15" s="88" t="n">
        <v>29900.1</v>
      </c>
      <c r="D15" s="88" t="n">
        <v>32447</v>
      </c>
      <c r="E15" s="88" t="n">
        <v>34628</v>
      </c>
      <c r="F15" s="88" t="n">
        <v>38183</v>
      </c>
    </row>
    <row r="16" customFormat="false" ht="15" hidden="false" customHeight="false" outlineLevel="0" collapsed="false">
      <c r="A16" s="79" t="s">
        <v>208</v>
      </c>
      <c r="B16" s="88"/>
      <c r="C16" s="88" t="n">
        <v>-6003.4</v>
      </c>
      <c r="D16" s="88" t="n">
        <v>-4707</v>
      </c>
      <c r="E16" s="88" t="n">
        <v>-3797</v>
      </c>
      <c r="F16" s="88" t="n">
        <v>-1791</v>
      </c>
    </row>
    <row r="17" customFormat="false" ht="15" hidden="false" customHeight="false" outlineLevel="0" collapsed="false">
      <c r="A17" s="79" t="s">
        <v>209</v>
      </c>
      <c r="B17" s="88"/>
      <c r="C17" s="88" t="n">
        <v>-6003.4</v>
      </c>
      <c r="D17" s="88" t="n">
        <v>-4706</v>
      </c>
      <c r="E17" s="88" t="n">
        <v>-3796</v>
      </c>
      <c r="F17" s="88" t="n">
        <v>-1790</v>
      </c>
    </row>
    <row r="18" customFormat="false" ht="15" hidden="false" customHeight="false" outlineLevel="0" collapsed="false">
      <c r="A18" s="79" t="s">
        <v>210</v>
      </c>
      <c r="B18" s="88"/>
      <c r="C18" s="88" t="n">
        <v>-2486.6</v>
      </c>
      <c r="D18" s="88" t="n">
        <v>-2456</v>
      </c>
      <c r="E18" s="88" t="n">
        <v>-2553</v>
      </c>
      <c r="F18" s="88" t="n">
        <v>-2414</v>
      </c>
    </row>
    <row r="19" customFormat="false" ht="15" hidden="false" customHeight="false" outlineLevel="0" collapsed="false">
      <c r="A19" s="79" t="s">
        <v>211</v>
      </c>
      <c r="B19" s="88"/>
      <c r="C19" s="88" t="n">
        <v>-2486.6</v>
      </c>
      <c r="D19" s="88" t="n">
        <v>-2456</v>
      </c>
      <c r="E19" s="88" t="n">
        <v>-2553</v>
      </c>
      <c r="F19" s="88" t="n">
        <v>-2414</v>
      </c>
    </row>
    <row r="20" customFormat="false" ht="15" hidden="false" customHeight="false" outlineLevel="0" collapsed="false">
      <c r="A20" s="79" t="s">
        <v>212</v>
      </c>
      <c r="B20" s="88"/>
      <c r="C20" s="88" t="n">
        <v>71624.4</v>
      </c>
      <c r="D20" s="88" t="n">
        <v>74640</v>
      </c>
      <c r="E20" s="88" t="n">
        <v>77375</v>
      </c>
      <c r="F20" s="88" t="n">
        <v>79316</v>
      </c>
    </row>
    <row r="21" customFormat="false" ht="15" hidden="false" customHeight="false" outlineLevel="0" collapsed="false">
      <c r="A21" s="79" t="s">
        <v>213</v>
      </c>
      <c r="B21" s="88"/>
      <c r="C21" s="88" t="n">
        <v>59543.9</v>
      </c>
      <c r="D21" s="88" t="n">
        <v>63480</v>
      </c>
      <c r="E21" s="88" t="n">
        <v>66834</v>
      </c>
      <c r="F21" s="88" t="n">
        <v>70282</v>
      </c>
    </row>
    <row r="22" customFormat="false" ht="15" hidden="false" customHeight="false" outlineLevel="0" collapsed="false">
      <c r="A22" s="79" t="s">
        <v>214</v>
      </c>
      <c r="B22" s="88"/>
      <c r="C22" s="88" t="n">
        <v>8547.1</v>
      </c>
      <c r="D22" s="88" t="n">
        <v>8893</v>
      </c>
      <c r="E22" s="88" t="n">
        <v>9281</v>
      </c>
      <c r="F22" s="88" t="n">
        <v>9641</v>
      </c>
    </row>
    <row r="23" customFormat="false" ht="15" hidden="false" customHeight="false" outlineLevel="0" collapsed="false">
      <c r="A23" s="79" t="s">
        <v>215</v>
      </c>
      <c r="B23" s="88"/>
      <c r="C23" s="88" t="n">
        <v>16.6</v>
      </c>
      <c r="D23" s="88" t="n">
        <v>17</v>
      </c>
      <c r="E23" s="88" t="n">
        <v>17</v>
      </c>
      <c r="F23" s="88" t="n">
        <v>17</v>
      </c>
    </row>
    <row r="24" customFormat="false" ht="15" hidden="false" customHeight="false" outlineLevel="0" collapsed="false">
      <c r="A24" s="79" t="s">
        <v>216</v>
      </c>
      <c r="B24" s="88"/>
      <c r="C24" s="88" t="n">
        <v>16.6</v>
      </c>
      <c r="D24" s="88" t="n">
        <v>17</v>
      </c>
      <c r="E24" s="88" t="n">
        <v>17</v>
      </c>
      <c r="F24" s="88" t="n">
        <v>17</v>
      </c>
    </row>
    <row r="25" customFormat="false" ht="15" hidden="false" customHeight="false" outlineLevel="0" collapsed="false">
      <c r="A25" s="79" t="s">
        <v>217</v>
      </c>
      <c r="B25" s="88"/>
      <c r="C25" s="88" t="n">
        <v>0</v>
      </c>
      <c r="D25" s="88" t="n">
        <v>0</v>
      </c>
      <c r="E25" s="88" t="n">
        <v>0</v>
      </c>
      <c r="F25" s="88" t="n">
        <v>0</v>
      </c>
    </row>
    <row r="26" customFormat="false" ht="15" hidden="false" customHeight="false" outlineLevel="0" collapsed="false">
      <c r="A26" s="79" t="s">
        <v>218</v>
      </c>
      <c r="B26" s="88"/>
      <c r="C26" s="88" t="n">
        <v>56439</v>
      </c>
      <c r="D26" s="88" t="n">
        <v>60854</v>
      </c>
      <c r="E26" s="88" t="n">
        <v>58979</v>
      </c>
      <c r="F26" s="88" t="n">
        <v>61306</v>
      </c>
    </row>
    <row r="27" customFormat="false" ht="15" hidden="false" customHeight="false" outlineLevel="0" collapsed="false">
      <c r="A27" s="79" t="s">
        <v>219</v>
      </c>
      <c r="B27" s="88"/>
      <c r="C27" s="88" t="n">
        <v>52636.9</v>
      </c>
      <c r="D27" s="88" t="n">
        <v>53995</v>
      </c>
      <c r="E27" s="88" t="n">
        <v>55118</v>
      </c>
      <c r="F27" s="88" t="n">
        <v>56945</v>
      </c>
    </row>
    <row r="28" customFormat="false" ht="15" hidden="false" customHeight="false" outlineLevel="0" collapsed="false">
      <c r="A28" s="79" t="s">
        <v>220</v>
      </c>
      <c r="B28" s="88"/>
      <c r="C28" s="88" t="n">
        <v>1051.8</v>
      </c>
      <c r="D28" s="88" t="n">
        <v>950</v>
      </c>
      <c r="E28" s="88" t="n">
        <v>770</v>
      </c>
      <c r="F28" s="88" t="n">
        <v>703</v>
      </c>
    </row>
    <row r="29" customFormat="false" ht="15" hidden="false" customHeight="false" outlineLevel="0" collapsed="false">
      <c r="A29" s="79" t="s">
        <v>221</v>
      </c>
      <c r="B29" s="88"/>
      <c r="C29" s="88" t="n">
        <v>791.9</v>
      </c>
      <c r="D29" s="88" t="n">
        <v>363</v>
      </c>
      <c r="E29" s="88" t="n">
        <v>344</v>
      </c>
      <c r="F29" s="88" t="n">
        <v>139</v>
      </c>
    </row>
    <row r="30" customFormat="false" ht="15" hidden="false" customHeight="false" outlineLevel="0" collapsed="false">
      <c r="A30" s="79" t="s">
        <v>222</v>
      </c>
      <c r="B30" s="88"/>
      <c r="C30" s="88" t="n">
        <v>2755.3</v>
      </c>
      <c r="D30" s="88" t="n">
        <v>2471</v>
      </c>
      <c r="E30" s="88" t="n">
        <v>2692</v>
      </c>
      <c r="F30" s="88" t="n">
        <v>1983</v>
      </c>
    </row>
    <row r="31" customFormat="false" ht="15" hidden="false" customHeight="false" outlineLevel="0" collapsed="false">
      <c r="A31" s="79" t="s">
        <v>223</v>
      </c>
      <c r="B31" s="88"/>
      <c r="C31" s="88" t="n">
        <v>757.8</v>
      </c>
      <c r="D31" s="88" t="n">
        <v>790</v>
      </c>
      <c r="E31" s="88" t="n">
        <v>778</v>
      </c>
      <c r="F31" s="88" t="n">
        <v>945</v>
      </c>
    </row>
    <row r="32" customFormat="false" ht="15" hidden="false" customHeight="false" outlineLevel="0" collapsed="false">
      <c r="A32" s="79" t="s">
        <v>224</v>
      </c>
      <c r="B32" s="88"/>
      <c r="C32" s="88" t="n">
        <v>1997.5</v>
      </c>
      <c r="D32" s="88" t="n">
        <v>1681</v>
      </c>
      <c r="E32" s="88" t="n">
        <v>1914</v>
      </c>
      <c r="F32" s="88" t="n">
        <v>1038</v>
      </c>
    </row>
    <row r="33" customFormat="false" ht="15" hidden="false" customHeight="false" outlineLevel="0" collapsed="false">
      <c r="A33" s="79" t="s">
        <v>225</v>
      </c>
      <c r="B33" s="88"/>
      <c r="C33" s="88" t="n">
        <v>48037.9</v>
      </c>
      <c r="D33" s="88" t="n">
        <v>50211</v>
      </c>
      <c r="E33" s="88" t="n">
        <v>51312</v>
      </c>
      <c r="F33" s="88" t="n">
        <v>54120</v>
      </c>
    </row>
    <row r="34" customFormat="false" ht="15" hidden="false" customHeight="false" outlineLevel="0" collapsed="false">
      <c r="A34" s="79" t="s">
        <v>226</v>
      </c>
      <c r="B34" s="88"/>
      <c r="C34" s="88" t="n">
        <v>12134.4</v>
      </c>
      <c r="D34" s="88" t="n">
        <v>13058</v>
      </c>
      <c r="E34" s="88" t="n">
        <v>12888</v>
      </c>
      <c r="F34" s="88" t="n">
        <v>14147</v>
      </c>
    </row>
    <row r="35" customFormat="false" ht="15" hidden="false" customHeight="false" outlineLevel="0" collapsed="false">
      <c r="A35" s="79" t="s">
        <v>227</v>
      </c>
      <c r="B35" s="88"/>
      <c r="C35" s="88" t="n">
        <v>35903.5</v>
      </c>
      <c r="D35" s="88" t="n">
        <v>37153</v>
      </c>
      <c r="E35" s="88" t="n">
        <v>38424</v>
      </c>
      <c r="F35" s="88" t="n">
        <v>39973</v>
      </c>
    </row>
    <row r="36" customFormat="false" ht="15" hidden="false" customHeight="false" outlineLevel="0" collapsed="false">
      <c r="A36" s="79" t="s">
        <v>228</v>
      </c>
      <c r="B36" s="88"/>
      <c r="C36" s="88" t="n">
        <v>3802.1</v>
      </c>
      <c r="D36" s="88" t="n">
        <v>6859</v>
      </c>
      <c r="E36" s="88" t="n">
        <v>3861</v>
      </c>
      <c r="F36" s="88" t="n">
        <v>4361</v>
      </c>
    </row>
    <row r="37" customFormat="false" ht="15" hidden="false" customHeight="false" outlineLevel="0" collapsed="false">
      <c r="A37" s="79" t="s">
        <v>229</v>
      </c>
      <c r="B37" s="88"/>
      <c r="C37" s="88" t="n">
        <v>661.1</v>
      </c>
      <c r="D37" s="88" t="n">
        <v>2880</v>
      </c>
      <c r="E37" s="88" t="n">
        <v>636</v>
      </c>
      <c r="F37" s="88" t="n">
        <v>694</v>
      </c>
    </row>
    <row r="38" customFormat="false" ht="15" hidden="false" customHeight="false" outlineLevel="0" collapsed="false">
      <c r="A38" s="79" t="s">
        <v>230</v>
      </c>
      <c r="B38" s="88"/>
      <c r="C38" s="88" t="n">
        <v>661.1</v>
      </c>
      <c r="D38" s="88" t="n">
        <v>688</v>
      </c>
      <c r="E38" s="88" t="n">
        <v>636</v>
      </c>
      <c r="F38" s="88" t="n">
        <v>694</v>
      </c>
    </row>
    <row r="39" customFormat="false" ht="15" hidden="false" customHeight="false" outlineLevel="0" collapsed="false">
      <c r="A39" s="79" t="s">
        <v>231</v>
      </c>
      <c r="B39" s="88"/>
      <c r="C39" s="88"/>
      <c r="D39" s="88" t="n">
        <v>2192</v>
      </c>
      <c r="E39" s="88"/>
      <c r="F39" s="88"/>
    </row>
    <row r="40" customFormat="false" ht="15" hidden="false" customHeight="false" outlineLevel="0" collapsed="false">
      <c r="A40" s="79" t="s">
        <v>232</v>
      </c>
      <c r="B40" s="88"/>
      <c r="C40" s="88"/>
      <c r="D40" s="88" t="n">
        <v>2192</v>
      </c>
      <c r="E40" s="88"/>
      <c r="F40" s="88"/>
    </row>
    <row r="41" customFormat="false" ht="15" hidden="false" customHeight="false" outlineLevel="0" collapsed="false">
      <c r="A41" s="79" t="s">
        <v>233</v>
      </c>
      <c r="B41" s="88"/>
      <c r="C41" s="88" t="n">
        <v>3141</v>
      </c>
      <c r="D41" s="88" t="n">
        <v>3979</v>
      </c>
      <c r="E41" s="88" t="n">
        <v>3225</v>
      </c>
      <c r="F41" s="88" t="n">
        <v>3667</v>
      </c>
    </row>
    <row r="42" customFormat="false" ht="15" hidden="false" customHeight="false" outlineLevel="0" collapsed="false">
      <c r="A42" s="79" t="s">
        <v>234</v>
      </c>
      <c r="B42" s="88"/>
      <c r="C42" s="88" t="n">
        <v>1630.8</v>
      </c>
      <c r="D42" s="88" t="n">
        <v>1903</v>
      </c>
      <c r="E42" s="88" t="n">
        <v>1611</v>
      </c>
      <c r="F42" s="88" t="n">
        <v>2021</v>
      </c>
    </row>
    <row r="43" customFormat="false" ht="15" hidden="false" customHeight="false" outlineLevel="0" collapsed="false">
      <c r="A43" s="79" t="s">
        <v>235</v>
      </c>
      <c r="B43" s="88"/>
      <c r="C43" s="88" t="n">
        <v>393.4</v>
      </c>
      <c r="D43" s="88" t="n">
        <v>469</v>
      </c>
      <c r="E43" s="88" t="n">
        <v>482</v>
      </c>
      <c r="F43" s="88" t="n">
        <v>533</v>
      </c>
    </row>
    <row r="44" customFormat="false" ht="15" hidden="false" customHeight="false" outlineLevel="0" collapsed="false">
      <c r="A44" s="79" t="s">
        <v>236</v>
      </c>
      <c r="B44" s="88"/>
      <c r="C44" s="88" t="n">
        <v>1510.2</v>
      </c>
      <c r="D44" s="88" t="n">
        <v>2076</v>
      </c>
      <c r="E44" s="88" t="n">
        <v>1614</v>
      </c>
      <c r="F44" s="88" t="n">
        <v>1646</v>
      </c>
    </row>
    <row r="45" customFormat="false" ht="15" hidden="false" customHeight="false" outlineLevel="0" collapsed="false">
      <c r="A45" s="79" t="s">
        <v>237</v>
      </c>
      <c r="B45" s="88"/>
      <c r="C45" s="88" t="n">
        <v>530</v>
      </c>
      <c r="D45" s="88" t="n">
        <v>973</v>
      </c>
      <c r="E45" s="88" t="n">
        <v>585</v>
      </c>
      <c r="F45" s="88" t="n">
        <v>497</v>
      </c>
    </row>
    <row r="46" customFormat="false" ht="15" hidden="false" customHeight="false" outlineLevel="0" collapsed="false">
      <c r="A46" s="79" t="s">
        <v>238</v>
      </c>
      <c r="B46" s="88"/>
      <c r="C46" s="88" t="n">
        <v>274.9</v>
      </c>
      <c r="D46" s="88" t="n">
        <v>705</v>
      </c>
      <c r="E46" s="88" t="n">
        <v>361</v>
      </c>
      <c r="F46" s="88" t="n">
        <v>250</v>
      </c>
    </row>
    <row r="47" customFormat="false" ht="15" hidden="false" customHeight="false" outlineLevel="0" collapsed="false">
      <c r="A47" s="79" t="s">
        <v>239</v>
      </c>
      <c r="B47" s="88"/>
      <c r="C47" s="88" t="n">
        <v>980.2</v>
      </c>
      <c r="D47" s="88" t="n">
        <v>1103</v>
      </c>
      <c r="E47" s="88" t="n">
        <v>1029</v>
      </c>
      <c r="F47" s="88" t="n">
        <v>1149</v>
      </c>
    </row>
    <row r="48" customFormat="false" ht="15" hidden="false" customHeight="false" outlineLevel="0" collapsed="false">
      <c r="A48" s="79" t="s">
        <v>240</v>
      </c>
      <c r="B48" s="88"/>
      <c r="C48" s="88" t="n">
        <v>50435.6</v>
      </c>
      <c r="D48" s="88" t="n">
        <v>56147</v>
      </c>
      <c r="E48" s="88" t="n">
        <v>55182</v>
      </c>
      <c r="F48" s="88" t="n">
        <v>59515</v>
      </c>
    </row>
    <row r="49" customFormat="false" ht="15" hidden="false" customHeight="false" outlineLevel="0" collapsed="false">
      <c r="A49" s="79" t="s">
        <v>241</v>
      </c>
      <c r="B49" s="88"/>
      <c r="C49" s="88" t="n">
        <v>45011.4</v>
      </c>
      <c r="D49" s="88" t="n">
        <v>48159</v>
      </c>
      <c r="E49" s="88" t="n">
        <v>50584</v>
      </c>
      <c r="F49" s="88" t="n">
        <v>55352</v>
      </c>
    </row>
    <row r="50" customFormat="false" ht="15" hidden="false" customHeight="false" outlineLevel="0" collapsed="false">
      <c r="A50" s="79" t="s">
        <v>242</v>
      </c>
      <c r="B50" s="88"/>
      <c r="C50" s="88" t="n">
        <v>4707.2</v>
      </c>
      <c r="D50" s="88" t="n">
        <v>5618</v>
      </c>
      <c r="E50" s="88" t="n">
        <v>6095</v>
      </c>
      <c r="F50" s="88" t="n">
        <v>6331</v>
      </c>
    </row>
    <row r="51" customFormat="false" ht="15" hidden="false" customHeight="false" outlineLevel="0" collapsed="false">
      <c r="A51" s="79" t="s">
        <v>243</v>
      </c>
      <c r="B51" s="88"/>
      <c r="C51" s="88" t="n">
        <v>1064.5</v>
      </c>
      <c r="D51" s="88" t="n">
        <v>1080</v>
      </c>
      <c r="E51" s="88" t="n">
        <v>2710</v>
      </c>
      <c r="F51" s="88" t="n">
        <v>2820</v>
      </c>
    </row>
    <row r="52" customFormat="false" ht="15" hidden="false" customHeight="false" outlineLevel="0" collapsed="false">
      <c r="A52" s="79" t="s">
        <v>244</v>
      </c>
      <c r="B52" s="88"/>
      <c r="C52" s="88" t="n">
        <v>1064.5</v>
      </c>
      <c r="D52" s="88" t="n">
        <v>1080</v>
      </c>
      <c r="E52" s="88" t="n">
        <v>2710</v>
      </c>
      <c r="F52" s="88" t="n">
        <v>2820</v>
      </c>
    </row>
    <row r="53" customFormat="false" ht="15" hidden="false" customHeight="false" outlineLevel="0" collapsed="false">
      <c r="A53" s="79" t="s">
        <v>245</v>
      </c>
      <c r="B53" s="88" t="n">
        <v>1201.2</v>
      </c>
      <c r="C53" s="88" t="n">
        <v>1064.5</v>
      </c>
      <c r="D53" s="88"/>
      <c r="E53" s="88"/>
      <c r="F53" s="88"/>
    </row>
    <row r="54" customFormat="false" ht="15" hidden="false" customHeight="false" outlineLevel="0" collapsed="false">
      <c r="A54" s="79" t="s">
        <v>246</v>
      </c>
      <c r="B54" s="88"/>
      <c r="C54" s="88" t="n">
        <v>2900.4</v>
      </c>
      <c r="D54" s="88" t="n">
        <v>3040</v>
      </c>
      <c r="E54" s="88" t="n">
        <v>3145</v>
      </c>
      <c r="F54" s="88" t="n">
        <v>3354</v>
      </c>
    </row>
    <row r="55" customFormat="false" ht="15" hidden="false" customHeight="false" outlineLevel="0" collapsed="false">
      <c r="A55" s="79" t="s">
        <v>247</v>
      </c>
      <c r="B55" s="88"/>
      <c r="C55" s="88" t="n">
        <v>2900.4</v>
      </c>
      <c r="D55" s="88" t="n">
        <v>3040</v>
      </c>
      <c r="E55" s="88" t="n">
        <v>3145</v>
      </c>
      <c r="F55" s="88" t="n">
        <v>3354</v>
      </c>
    </row>
    <row r="56" customFormat="false" ht="15" hidden="false" customHeight="false" outlineLevel="0" collapsed="false">
      <c r="A56" s="79" t="s">
        <v>248</v>
      </c>
      <c r="B56" s="88"/>
      <c r="C56" s="88" t="n">
        <v>36339.3</v>
      </c>
      <c r="D56" s="88" t="n">
        <v>38421</v>
      </c>
      <c r="E56" s="88" t="n">
        <v>38634</v>
      </c>
      <c r="F56" s="88" t="n">
        <v>42847</v>
      </c>
    </row>
    <row r="57" customFormat="false" ht="15" hidden="false" customHeight="false" outlineLevel="0" collapsed="false">
      <c r="A57" s="79" t="s">
        <v>249</v>
      </c>
      <c r="B57" s="88"/>
      <c r="C57" s="88" t="n">
        <v>-17264</v>
      </c>
      <c r="D57" s="88" t="n">
        <v>-18662</v>
      </c>
      <c r="E57" s="88" t="n">
        <v>-18882</v>
      </c>
      <c r="F57" s="88" t="n">
        <v>-21049</v>
      </c>
    </row>
    <row r="58" customFormat="false" ht="15" hidden="false" customHeight="false" outlineLevel="0" collapsed="false">
      <c r="A58" s="79" t="s">
        <v>250</v>
      </c>
      <c r="B58" s="88"/>
      <c r="C58" s="88" t="n">
        <v>53603.3</v>
      </c>
      <c r="D58" s="88" t="n">
        <v>57083</v>
      </c>
      <c r="E58" s="88" t="n">
        <v>57516</v>
      </c>
      <c r="F58" s="88" t="n">
        <v>63896</v>
      </c>
    </row>
    <row r="59" customFormat="false" ht="15" hidden="false" customHeight="false" outlineLevel="0" collapsed="false">
      <c r="A59" s="79" t="s">
        <v>251</v>
      </c>
      <c r="B59" s="88"/>
      <c r="C59" s="88" t="n">
        <v>15490.8</v>
      </c>
      <c r="D59" s="88" t="n">
        <v>16621</v>
      </c>
      <c r="E59" s="88" t="n">
        <v>16359</v>
      </c>
      <c r="F59" s="88" t="n">
        <v>18019</v>
      </c>
    </row>
    <row r="60" customFormat="false" ht="15" hidden="false" customHeight="false" outlineLevel="0" collapsed="false">
      <c r="A60" s="79" t="s">
        <v>252</v>
      </c>
      <c r="B60" s="88" t="n">
        <v>3032</v>
      </c>
      <c r="C60" s="88" t="n">
        <v>2498.6</v>
      </c>
      <c r="D60" s="88"/>
      <c r="E60" s="88"/>
      <c r="F60" s="88"/>
    </row>
    <row r="61" customFormat="false" ht="15" hidden="false" customHeight="false" outlineLevel="0" collapsed="false">
      <c r="A61" s="79" t="s">
        <v>253</v>
      </c>
      <c r="B61" s="88"/>
      <c r="C61" s="88" t="n">
        <v>31426.2</v>
      </c>
      <c r="D61" s="88" t="n">
        <v>33381</v>
      </c>
      <c r="E61" s="88" t="n">
        <v>33904</v>
      </c>
      <c r="F61" s="88" t="n">
        <v>37708</v>
      </c>
    </row>
    <row r="62" customFormat="false" ht="15" hidden="false" customHeight="false" outlineLevel="0" collapsed="false">
      <c r="A62" s="79" t="s">
        <v>254</v>
      </c>
      <c r="B62" s="88"/>
      <c r="C62" s="88" t="n">
        <v>6686.3</v>
      </c>
      <c r="D62" s="88" t="n">
        <v>7081</v>
      </c>
      <c r="E62" s="88" t="n">
        <v>7253</v>
      </c>
      <c r="F62" s="88" t="n">
        <v>8169</v>
      </c>
    </row>
    <row r="63" customFormat="false" ht="15" hidden="false" customHeight="false" outlineLevel="0" collapsed="false">
      <c r="A63" s="79" t="s">
        <v>255</v>
      </c>
      <c r="B63" s="88"/>
      <c r="C63" s="88" t="n">
        <v>0</v>
      </c>
      <c r="D63" s="88" t="n">
        <v>0</v>
      </c>
      <c r="E63" s="88" t="n">
        <v>0</v>
      </c>
      <c r="F63" s="88" t="n">
        <v>0</v>
      </c>
    </row>
    <row r="64" customFormat="false" ht="15" hidden="false" customHeight="false" outlineLevel="0" collapsed="false">
      <c r="A64" s="79" t="s">
        <v>256</v>
      </c>
      <c r="B64" s="88"/>
      <c r="C64" s="88" t="n">
        <v>5424.2</v>
      </c>
      <c r="D64" s="88" t="n">
        <v>7986</v>
      </c>
      <c r="E64" s="88" t="n">
        <v>4599</v>
      </c>
      <c r="F64" s="88" t="n">
        <v>4163</v>
      </c>
    </row>
    <row r="65" customFormat="false" ht="15" hidden="false" customHeight="false" outlineLevel="0" collapsed="false">
      <c r="A65" s="79" t="s">
        <v>257</v>
      </c>
      <c r="B65" s="88"/>
      <c r="C65" s="88" t="n">
        <v>673.4</v>
      </c>
      <c r="D65" s="88" t="n">
        <v>866</v>
      </c>
      <c r="E65" s="88" t="n">
        <v>1075</v>
      </c>
      <c r="F65" s="88" t="n">
        <v>862</v>
      </c>
    </row>
    <row r="66" customFormat="false" ht="15" hidden="false" customHeight="false" outlineLevel="0" collapsed="false">
      <c r="A66" s="79" t="s">
        <v>258</v>
      </c>
      <c r="B66" s="88" t="n">
        <v>511.3</v>
      </c>
      <c r="C66" s="88"/>
      <c r="D66" s="88"/>
      <c r="E66" s="88"/>
      <c r="F66" s="88"/>
    </row>
    <row r="67" customFormat="false" ht="15" hidden="false" customHeight="false" outlineLevel="0" collapsed="false">
      <c r="A67" s="79" t="s">
        <v>259</v>
      </c>
      <c r="B67" s="88"/>
      <c r="C67" s="88" t="n">
        <v>52</v>
      </c>
      <c r="D67" s="88" t="n">
        <v>53</v>
      </c>
      <c r="E67" s="88" t="n">
        <v>56</v>
      </c>
      <c r="F67" s="88" t="n">
        <v>61</v>
      </c>
    </row>
    <row r="68" customFormat="false" ht="15" hidden="false" customHeight="false" outlineLevel="0" collapsed="false">
      <c r="A68" s="79" t="s">
        <v>260</v>
      </c>
      <c r="B68" s="88"/>
      <c r="C68" s="88" t="n">
        <v>2115</v>
      </c>
      <c r="D68" s="88" t="n">
        <v>2488</v>
      </c>
      <c r="E68" s="88" t="n">
        <v>2383</v>
      </c>
      <c r="F68" s="88" t="n">
        <v>2466</v>
      </c>
    </row>
    <row r="69" customFormat="false" ht="15" hidden="false" customHeight="false" outlineLevel="0" collapsed="false">
      <c r="A69" s="79" t="s">
        <v>261</v>
      </c>
      <c r="B69" s="88"/>
      <c r="C69" s="88" t="n">
        <v>2115</v>
      </c>
      <c r="D69" s="88" t="n">
        <v>2488</v>
      </c>
      <c r="E69" s="88" t="n">
        <v>2383</v>
      </c>
      <c r="F69" s="88" t="n">
        <v>2466</v>
      </c>
    </row>
    <row r="70" customFormat="false" ht="15" hidden="false" customHeight="false" outlineLevel="0" collapsed="false">
      <c r="A70" s="79" t="s">
        <v>262</v>
      </c>
      <c r="B70" s="88"/>
      <c r="C70" s="88" t="n">
        <v>2583.8</v>
      </c>
      <c r="D70" s="88" t="n">
        <v>4579</v>
      </c>
      <c r="E70" s="88" t="n">
        <v>1085</v>
      </c>
      <c r="F70" s="88" t="n">
        <v>774</v>
      </c>
    </row>
    <row r="71" customFormat="false" ht="15" hidden="false" customHeight="false" outlineLevel="0" collapsed="false">
      <c r="A71" s="79" t="s">
        <v>263</v>
      </c>
      <c r="B71" s="88"/>
      <c r="C71" s="88" t="n">
        <v>2583.8</v>
      </c>
      <c r="D71" s="88" t="n">
        <v>4579</v>
      </c>
      <c r="E71" s="88" t="n">
        <v>1085</v>
      </c>
      <c r="F71" s="88" t="n">
        <v>774</v>
      </c>
    </row>
    <row r="73" customFormat="false" ht="15" hidden="false" customHeight="false" outlineLevel="0" collapsed="false">
      <c r="A73" s="2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0"/>
  </cols>
  <sheetData>
    <row r="1" customFormat="false" ht="17.35" hidden="false" customHeight="false" outlineLevel="0" collapsed="false">
      <c r="A1" s="1" t="s">
        <v>264</v>
      </c>
    </row>
    <row r="3" customFormat="false" ht="15" hidden="false" customHeight="false" outlineLevel="0" collapsed="false">
      <c r="A3" s="75" t="s">
        <v>138</v>
      </c>
      <c r="B3" s="75" t="s">
        <v>195</v>
      </c>
      <c r="C3" s="75" t="s">
        <v>139</v>
      </c>
      <c r="D3" s="75" t="s">
        <v>140</v>
      </c>
      <c r="E3" s="75" t="s">
        <v>141</v>
      </c>
      <c r="F3" s="75" t="s">
        <v>142</v>
      </c>
    </row>
    <row r="4" customFormat="false" ht="15" hidden="false" customHeight="false" outlineLevel="0" collapsed="false">
      <c r="A4" s="79" t="s">
        <v>265</v>
      </c>
      <c r="B4" s="88"/>
      <c r="C4" s="88" t="n">
        <v>5488</v>
      </c>
      <c r="D4" s="88" t="n">
        <v>7255</v>
      </c>
      <c r="E4" s="88" t="n">
        <v>6672</v>
      </c>
      <c r="F4" s="88" t="n">
        <v>7186</v>
      </c>
    </row>
    <row r="5" customFormat="false" ht="15" hidden="false" customHeight="false" outlineLevel="0" collapsed="false">
      <c r="A5" s="79" t="s">
        <v>266</v>
      </c>
      <c r="B5" s="88"/>
      <c r="C5" s="88" t="n">
        <v>-3896</v>
      </c>
      <c r="D5" s="88" t="n">
        <v>-3054</v>
      </c>
      <c r="E5" s="88" t="n">
        <v>-2824</v>
      </c>
      <c r="F5" s="88" t="n">
        <v>-2056</v>
      </c>
    </row>
    <row r="6" customFormat="false" ht="15" hidden="false" customHeight="false" outlineLevel="0" collapsed="false">
      <c r="A6" s="79" t="s">
        <v>267</v>
      </c>
      <c r="B6" s="88"/>
      <c r="C6" s="88" t="n">
        <v>-2202</v>
      </c>
      <c r="D6" s="88" t="n">
        <v>-2441</v>
      </c>
      <c r="E6" s="88" t="n">
        <v>-2777</v>
      </c>
      <c r="F6" s="88" t="n">
        <v>-4802</v>
      </c>
    </row>
    <row r="7" customFormat="false" ht="15" hidden="false" customHeight="false" outlineLevel="0" collapsed="false">
      <c r="A7" s="79" t="s">
        <v>268</v>
      </c>
      <c r="B7" s="88"/>
      <c r="C7" s="88" t="n">
        <v>3374</v>
      </c>
      <c r="D7" s="88" t="n">
        <v>5221</v>
      </c>
      <c r="E7" s="88" t="n">
        <v>2380</v>
      </c>
      <c r="F7" s="88" t="n">
        <v>4724</v>
      </c>
    </row>
    <row r="8" customFormat="false" ht="15" hidden="false" customHeight="false" outlineLevel="0" collapsed="false">
      <c r="A8" s="79" t="s">
        <v>269</v>
      </c>
      <c r="B8" s="88"/>
      <c r="C8" s="88" t="n">
        <v>-1899</v>
      </c>
      <c r="D8" s="88" t="n">
        <v>-2357</v>
      </c>
      <c r="E8" s="88" t="n">
        <v>-2775</v>
      </c>
      <c r="F8" s="88" t="n">
        <v>-3365</v>
      </c>
    </row>
    <row r="9" customFormat="false" ht="15" hidden="false" customHeight="false" outlineLevel="0" collapsed="false">
      <c r="A9" s="79" t="s">
        <v>270</v>
      </c>
      <c r="B9" s="88"/>
      <c r="C9" s="88" t="n">
        <v>1184</v>
      </c>
      <c r="D9" s="88" t="n">
        <v>1287</v>
      </c>
      <c r="E9" s="88" t="n">
        <v>1523</v>
      </c>
      <c r="F9" s="88" t="n">
        <v>1555</v>
      </c>
    </row>
    <row r="10" customFormat="false" ht="15" hidden="false" customHeight="false" outlineLevel="0" collapsed="false">
      <c r="A10" s="79" t="s">
        <v>271</v>
      </c>
      <c r="B10" s="88" t="n">
        <v>2403.9</v>
      </c>
      <c r="C10" s="88" t="n">
        <v>3024</v>
      </c>
      <c r="D10" s="88" t="n">
        <v>2992.9</v>
      </c>
      <c r="E10" s="88" t="n">
        <v>2974</v>
      </c>
      <c r="F10" s="88"/>
    </row>
    <row r="11" customFormat="false" ht="15" hidden="false" customHeight="false" outlineLevel="0" collapsed="false">
      <c r="A11" s="79" t="s">
        <v>272</v>
      </c>
      <c r="B11" s="88"/>
      <c r="C11" s="88" t="n">
        <v>2584</v>
      </c>
      <c r="D11" s="88" t="n">
        <v>4579</v>
      </c>
      <c r="E11" s="88" t="n">
        <v>1085</v>
      </c>
      <c r="F11" s="88" t="n">
        <v>774</v>
      </c>
    </row>
    <row r="12" customFormat="false" ht="15" hidden="false" customHeight="false" outlineLevel="0" collapsed="false">
      <c r="A12" s="79" t="s">
        <v>273</v>
      </c>
      <c r="B12" s="88"/>
      <c r="C12" s="88" t="n">
        <v>4709</v>
      </c>
      <c r="D12" s="88" t="n">
        <v>2584</v>
      </c>
      <c r="E12" s="88" t="n">
        <v>4579</v>
      </c>
      <c r="F12" s="88" t="n">
        <v>1085</v>
      </c>
    </row>
    <row r="13" customFormat="false" ht="15" hidden="false" customHeight="false" outlineLevel="0" collapsed="false">
      <c r="A13" s="79" t="s">
        <v>274</v>
      </c>
      <c r="B13" s="88"/>
      <c r="C13" s="88" t="n">
        <v>-254</v>
      </c>
      <c r="D13" s="88" t="n">
        <v>-58</v>
      </c>
      <c r="E13" s="88" t="n">
        <v>-101</v>
      </c>
      <c r="F13" s="88" t="n">
        <v>86</v>
      </c>
    </row>
    <row r="14" customFormat="false" ht="15" hidden="false" customHeight="false" outlineLevel="0" collapsed="false">
      <c r="A14" s="79" t="s">
        <v>275</v>
      </c>
      <c r="B14" s="88"/>
      <c r="C14" s="88" t="n">
        <v>-1871</v>
      </c>
      <c r="D14" s="88" t="n">
        <v>2053</v>
      </c>
      <c r="E14" s="88" t="n">
        <v>-3393</v>
      </c>
      <c r="F14" s="88" t="n">
        <v>-397</v>
      </c>
    </row>
    <row r="15" customFormat="false" ht="15" hidden="false" customHeight="false" outlineLevel="0" collapsed="false">
      <c r="A15" s="79" t="s">
        <v>276</v>
      </c>
      <c r="B15" s="88"/>
      <c r="C15" s="88" t="n">
        <v>-6580</v>
      </c>
      <c r="D15" s="88" t="n">
        <v>-4374</v>
      </c>
      <c r="E15" s="88" t="n">
        <v>-7495</v>
      </c>
      <c r="F15" s="88" t="n">
        <v>-7125</v>
      </c>
    </row>
    <row r="16" customFormat="false" ht="15" hidden="false" customHeight="false" outlineLevel="0" collapsed="false">
      <c r="A16" s="79" t="s">
        <v>277</v>
      </c>
      <c r="B16" s="88"/>
      <c r="C16" s="88" t="n">
        <v>-6580</v>
      </c>
      <c r="D16" s="88" t="n">
        <v>-4374</v>
      </c>
      <c r="E16" s="88" t="n">
        <v>-7493</v>
      </c>
      <c r="F16" s="88" t="n">
        <v>-7125</v>
      </c>
    </row>
    <row r="17" customFormat="false" ht="15" hidden="false" customHeight="false" outlineLevel="0" collapsed="false">
      <c r="A17" s="79" t="s">
        <v>278</v>
      </c>
      <c r="B17" s="88"/>
      <c r="C17" s="88" t="n">
        <v>38</v>
      </c>
      <c r="D17" s="88" t="n">
        <v>-40</v>
      </c>
      <c r="E17" s="88" t="n">
        <v>-58</v>
      </c>
      <c r="F17" s="88" t="n">
        <v>-167</v>
      </c>
    </row>
    <row r="18" customFormat="false" ht="15" hidden="false" customHeight="false" outlineLevel="0" collapsed="false">
      <c r="A18" s="79" t="s">
        <v>279</v>
      </c>
      <c r="B18" s="88"/>
      <c r="C18" s="88" t="n">
        <v>248</v>
      </c>
      <c r="D18" s="88" t="n">
        <v>260</v>
      </c>
      <c r="E18" s="88" t="n">
        <v>328</v>
      </c>
      <c r="F18" s="88" t="n">
        <v>285</v>
      </c>
    </row>
    <row r="19" customFormat="false" ht="15" hidden="false" customHeight="false" outlineLevel="0" collapsed="false">
      <c r="A19" s="79" t="s">
        <v>280</v>
      </c>
      <c r="B19" s="88"/>
      <c r="C19" s="88" t="n">
        <v>-4168</v>
      </c>
      <c r="D19" s="88" t="n">
        <v>-4533</v>
      </c>
      <c r="E19" s="88" t="n">
        <v>-4870</v>
      </c>
      <c r="F19" s="88" t="n">
        <v>-5115</v>
      </c>
    </row>
    <row r="20" customFormat="false" ht="15" hidden="false" customHeight="false" outlineLevel="0" collapsed="false">
      <c r="A20" s="79" t="s">
        <v>281</v>
      </c>
      <c r="B20" s="88"/>
      <c r="C20" s="88" t="n">
        <v>-4168</v>
      </c>
      <c r="D20" s="88" t="n">
        <v>-4533</v>
      </c>
      <c r="E20" s="88" t="n">
        <v>-4870</v>
      </c>
      <c r="F20" s="88" t="n">
        <v>-5115</v>
      </c>
    </row>
    <row r="21" customFormat="false" ht="15" hidden="false" customHeight="false" outlineLevel="0" collapsed="false">
      <c r="A21" s="79" t="s">
        <v>282</v>
      </c>
      <c r="B21" s="88"/>
      <c r="C21" s="88" t="n">
        <v>-3896</v>
      </c>
      <c r="D21" s="88" t="n">
        <v>-3054</v>
      </c>
      <c r="E21" s="88" t="n">
        <v>-2824</v>
      </c>
      <c r="F21" s="88" t="n">
        <v>-2056</v>
      </c>
    </row>
    <row r="22" customFormat="false" ht="15" hidden="false" customHeight="false" outlineLevel="0" collapsed="false">
      <c r="A22" s="79" t="s">
        <v>283</v>
      </c>
      <c r="B22" s="88"/>
      <c r="C22" s="88" t="n">
        <v>-3896</v>
      </c>
      <c r="D22" s="88" t="n">
        <v>-3054</v>
      </c>
      <c r="E22" s="88" t="n">
        <v>-2824</v>
      </c>
      <c r="F22" s="88" t="n">
        <v>-2056</v>
      </c>
    </row>
    <row r="23" customFormat="false" ht="15" hidden="false" customHeight="false" outlineLevel="0" collapsed="false">
      <c r="A23" s="79" t="s">
        <v>284</v>
      </c>
      <c r="B23" s="88"/>
      <c r="C23" s="88" t="n">
        <v>1198</v>
      </c>
      <c r="D23" s="88" t="n">
        <v>2993</v>
      </c>
      <c r="E23" s="88" t="n">
        <v>-71</v>
      </c>
      <c r="F23" s="88" t="n">
        <v>-72</v>
      </c>
    </row>
    <row r="24" customFormat="false" ht="15" hidden="false" customHeight="false" outlineLevel="0" collapsed="false">
      <c r="A24" s="79" t="s">
        <v>285</v>
      </c>
      <c r="B24" s="88"/>
      <c r="C24" s="88" t="n">
        <v>26</v>
      </c>
      <c r="D24" s="88" t="n">
        <v>213</v>
      </c>
      <c r="E24" s="88" t="n">
        <v>326</v>
      </c>
      <c r="F24" s="88" t="n">
        <v>6</v>
      </c>
    </row>
    <row r="25" customFormat="false" ht="15" hidden="false" customHeight="false" outlineLevel="0" collapsed="false">
      <c r="A25" s="79" t="s">
        <v>286</v>
      </c>
      <c r="B25" s="88"/>
      <c r="C25" s="88" t="n">
        <v>1172</v>
      </c>
      <c r="D25" s="88" t="n">
        <v>2780</v>
      </c>
      <c r="E25" s="88" t="n">
        <v>-397</v>
      </c>
      <c r="F25" s="88" t="n">
        <v>-78</v>
      </c>
    </row>
    <row r="26" customFormat="false" ht="15" hidden="false" customHeight="false" outlineLevel="0" collapsed="false">
      <c r="A26" s="79" t="s">
        <v>287</v>
      </c>
      <c r="B26" s="88"/>
      <c r="C26" s="88" t="n">
        <v>-2202</v>
      </c>
      <c r="D26" s="88" t="n">
        <v>-2441</v>
      </c>
      <c r="E26" s="88" t="n">
        <v>-2777</v>
      </c>
      <c r="F26" s="88" t="n">
        <v>-4802</v>
      </c>
    </row>
    <row r="27" customFormat="false" ht="15" hidden="false" customHeight="false" outlineLevel="0" collapsed="false">
      <c r="A27" s="79" t="s">
        <v>288</v>
      </c>
      <c r="B27" s="88"/>
      <c r="C27" s="88" t="n">
        <v>3374</v>
      </c>
      <c r="D27" s="88" t="n">
        <v>5221</v>
      </c>
      <c r="E27" s="88" t="n">
        <v>2380</v>
      </c>
      <c r="F27" s="88" t="n">
        <v>4724</v>
      </c>
    </row>
    <row r="28" customFormat="false" ht="15" hidden="false" customHeight="false" outlineLevel="0" collapsed="false">
      <c r="A28" s="79" t="s">
        <v>289</v>
      </c>
      <c r="B28" s="88"/>
      <c r="C28" s="88" t="n">
        <v>-2678</v>
      </c>
      <c r="D28" s="88" t="n">
        <v>-3185</v>
      </c>
      <c r="E28" s="88" t="n">
        <v>-5346</v>
      </c>
      <c r="F28" s="88" t="n">
        <v>-3822</v>
      </c>
    </row>
    <row r="29" customFormat="false" ht="15" hidden="false" customHeight="false" outlineLevel="0" collapsed="false">
      <c r="A29" s="79" t="s">
        <v>290</v>
      </c>
      <c r="B29" s="88"/>
      <c r="C29" s="88" t="n">
        <v>-2678</v>
      </c>
      <c r="D29" s="88" t="n">
        <v>-3184</v>
      </c>
      <c r="E29" s="88" t="n">
        <v>-5346</v>
      </c>
      <c r="F29" s="88" t="n">
        <v>-3822</v>
      </c>
    </row>
    <row r="30" customFormat="false" ht="15" hidden="false" customHeight="false" outlineLevel="0" collapsed="false">
      <c r="A30" s="79" t="s">
        <v>291</v>
      </c>
      <c r="B30" s="88"/>
      <c r="C30" s="88" t="n">
        <v>-457</v>
      </c>
      <c r="D30" s="88" t="n">
        <v>-677</v>
      </c>
      <c r="E30" s="88" t="n">
        <v>-498</v>
      </c>
      <c r="F30" s="88" t="n">
        <v>-579</v>
      </c>
    </row>
    <row r="31" customFormat="false" ht="15" hidden="false" customHeight="false" outlineLevel="0" collapsed="false">
      <c r="A31" s="79" t="s">
        <v>292</v>
      </c>
      <c r="B31" s="88"/>
      <c r="C31" s="88" t="n">
        <v>-361</v>
      </c>
      <c r="D31" s="88" t="n">
        <v>-246</v>
      </c>
      <c r="E31" s="88" t="n">
        <v>-2195</v>
      </c>
      <c r="F31" s="88" t="n">
        <v>-8</v>
      </c>
    </row>
    <row r="32" customFormat="false" ht="15" hidden="false" customHeight="false" outlineLevel="0" collapsed="false">
      <c r="A32" s="79" t="s">
        <v>293</v>
      </c>
      <c r="B32" s="88"/>
      <c r="C32" s="88" t="n">
        <v>446</v>
      </c>
      <c r="D32" s="88" t="n">
        <v>195</v>
      </c>
      <c r="E32" s="88" t="n">
        <v>311</v>
      </c>
      <c r="F32" s="88" t="n">
        <v>346</v>
      </c>
    </row>
    <row r="33" customFormat="false" ht="15" hidden="false" customHeight="false" outlineLevel="0" collapsed="false">
      <c r="A33" s="79" t="s">
        <v>294</v>
      </c>
      <c r="B33" s="88"/>
      <c r="C33" s="88" t="n">
        <v>-807</v>
      </c>
      <c r="D33" s="88" t="n">
        <v>-441</v>
      </c>
      <c r="E33" s="88" t="n">
        <v>-2506</v>
      </c>
      <c r="F33" s="88" t="n">
        <v>-354</v>
      </c>
    </row>
    <row r="34" customFormat="false" ht="15" hidden="false" customHeight="false" outlineLevel="0" collapsed="false">
      <c r="A34" s="79" t="s">
        <v>295</v>
      </c>
      <c r="B34" s="88"/>
      <c r="C34" s="88" t="n">
        <v>39</v>
      </c>
      <c r="D34" s="88" t="n">
        <v>95</v>
      </c>
      <c r="E34" s="88" t="n">
        <v>122</v>
      </c>
      <c r="F34" s="88" t="n">
        <v>130</v>
      </c>
    </row>
    <row r="35" customFormat="false" ht="15" hidden="false" customHeight="false" outlineLevel="0" collapsed="false">
      <c r="A35" s="79" t="s">
        <v>296</v>
      </c>
      <c r="B35" s="88"/>
      <c r="C35" s="88" t="n">
        <v>39</v>
      </c>
      <c r="D35" s="88" t="n">
        <v>95</v>
      </c>
      <c r="E35" s="88" t="n">
        <v>122</v>
      </c>
      <c r="F35" s="88" t="n">
        <v>130</v>
      </c>
    </row>
    <row r="36" customFormat="false" ht="15" hidden="false" customHeight="false" outlineLevel="0" collapsed="false">
      <c r="A36" s="79" t="s">
        <v>297</v>
      </c>
      <c r="B36" s="88"/>
      <c r="C36" s="88" t="n">
        <v>-1899</v>
      </c>
      <c r="D36" s="88" t="n">
        <v>-2357</v>
      </c>
      <c r="E36" s="88" t="n">
        <v>-2775</v>
      </c>
      <c r="F36" s="88" t="n">
        <v>-3365</v>
      </c>
    </row>
    <row r="37" customFormat="false" ht="15" hidden="false" customHeight="false" outlineLevel="0" collapsed="false">
      <c r="A37" s="79" t="s">
        <v>298</v>
      </c>
      <c r="B37" s="88"/>
      <c r="C37" s="88" t="n">
        <v>7387</v>
      </c>
      <c r="D37" s="88" t="n">
        <v>9612</v>
      </c>
      <c r="E37" s="88" t="n">
        <v>9447</v>
      </c>
      <c r="F37" s="88" t="n">
        <v>10551</v>
      </c>
    </row>
    <row r="38" customFormat="false" ht="15" hidden="false" customHeight="false" outlineLevel="0" collapsed="false">
      <c r="A38" s="79" t="s">
        <v>299</v>
      </c>
      <c r="B38" s="88"/>
      <c r="C38" s="88" t="n">
        <v>7387</v>
      </c>
      <c r="D38" s="88" t="n">
        <v>9612</v>
      </c>
      <c r="E38" s="88" t="n">
        <v>9446</v>
      </c>
      <c r="F38" s="88" t="n">
        <v>10551</v>
      </c>
    </row>
    <row r="39" customFormat="false" ht="15" hidden="false" customHeight="false" outlineLevel="0" collapsed="false">
      <c r="A39" s="79" t="s">
        <v>300</v>
      </c>
      <c r="B39" s="88"/>
      <c r="C39" s="88" t="n">
        <v>-645</v>
      </c>
      <c r="D39" s="88" t="n">
        <v>-108</v>
      </c>
      <c r="E39" s="88" t="n">
        <v>-438</v>
      </c>
      <c r="F39" s="88" t="n">
        <v>106</v>
      </c>
    </row>
    <row r="40" customFormat="false" ht="15" hidden="false" customHeight="false" outlineLevel="0" collapsed="false">
      <c r="A40" s="79" t="s">
        <v>301</v>
      </c>
      <c r="B40" s="88" t="n">
        <v>-302.5</v>
      </c>
      <c r="C40" s="88" t="n">
        <v>-546.7</v>
      </c>
      <c r="D40" s="88" t="n">
        <v>-220.3</v>
      </c>
      <c r="E40" s="88"/>
      <c r="F40" s="88"/>
    </row>
    <row r="41" customFormat="false" ht="15" hidden="false" customHeight="false" outlineLevel="0" collapsed="false">
      <c r="A41" s="79" t="s">
        <v>302</v>
      </c>
      <c r="B41" s="88"/>
      <c r="C41" s="88" t="n">
        <v>-387</v>
      </c>
      <c r="D41" s="88" t="n">
        <v>36</v>
      </c>
      <c r="E41" s="88" t="n">
        <v>-519</v>
      </c>
      <c r="F41" s="88" t="n">
        <v>15</v>
      </c>
    </row>
    <row r="42" customFormat="false" ht="15" hidden="false" customHeight="false" outlineLevel="0" collapsed="false">
      <c r="A42" s="79" t="s">
        <v>303</v>
      </c>
      <c r="B42" s="88"/>
      <c r="C42" s="88" t="n">
        <v>129</v>
      </c>
      <c r="D42" s="88" t="n">
        <v>206</v>
      </c>
      <c r="E42" s="88" t="n">
        <v>-217</v>
      </c>
      <c r="F42" s="88" t="n">
        <v>154</v>
      </c>
    </row>
    <row r="43" customFormat="false" ht="15" hidden="false" customHeight="false" outlineLevel="0" collapsed="false">
      <c r="A43" s="79" t="s">
        <v>304</v>
      </c>
      <c r="B43" s="88"/>
      <c r="C43" s="88" t="n">
        <v>-516</v>
      </c>
      <c r="D43" s="88" t="n">
        <v>-170</v>
      </c>
      <c r="E43" s="88" t="n">
        <v>-302</v>
      </c>
      <c r="F43" s="88" t="n">
        <v>-139</v>
      </c>
    </row>
    <row r="44" customFormat="false" ht="15" hidden="false" customHeight="false" outlineLevel="0" collapsed="false">
      <c r="A44" s="79" t="s">
        <v>305</v>
      </c>
      <c r="B44" s="88"/>
      <c r="C44" s="88" t="n">
        <v>31</v>
      </c>
      <c r="D44" s="88" t="n">
        <v>50</v>
      </c>
      <c r="E44" s="88" t="n">
        <v>-10</v>
      </c>
      <c r="F44" s="88" t="n">
        <v>100</v>
      </c>
    </row>
    <row r="45" customFormat="false" ht="15" hidden="false" customHeight="false" outlineLevel="0" collapsed="false">
      <c r="A45" s="79" t="s">
        <v>306</v>
      </c>
      <c r="B45" s="88"/>
      <c r="C45" s="88" t="n">
        <v>-547</v>
      </c>
      <c r="D45" s="88" t="n">
        <v>-220</v>
      </c>
      <c r="E45" s="88" t="n">
        <v>-292</v>
      </c>
      <c r="F45" s="88" t="n">
        <v>-239</v>
      </c>
    </row>
    <row r="46" customFormat="false" ht="15" hidden="false" customHeight="false" outlineLevel="0" collapsed="false">
      <c r="A46" s="79" t="s">
        <v>307</v>
      </c>
      <c r="B46" s="88"/>
      <c r="C46" s="88" t="n">
        <v>-547</v>
      </c>
      <c r="D46" s="88" t="n">
        <v>-220</v>
      </c>
      <c r="E46" s="88" t="n">
        <v>-292</v>
      </c>
      <c r="F46" s="88" t="n">
        <v>-239</v>
      </c>
    </row>
    <row r="47" customFormat="false" ht="15" hidden="false" customHeight="false" outlineLevel="0" collapsed="false">
      <c r="A47" s="79" t="s">
        <v>308</v>
      </c>
      <c r="B47" s="88"/>
      <c r="C47" s="88" t="n">
        <v>6</v>
      </c>
      <c r="D47" s="88" t="n">
        <v>17</v>
      </c>
      <c r="E47" s="88" t="n">
        <v>71</v>
      </c>
      <c r="F47" s="88" t="n">
        <v>-140</v>
      </c>
    </row>
    <row r="48" customFormat="false" ht="15" hidden="false" customHeight="false" outlineLevel="0" collapsed="false">
      <c r="A48" s="79" t="s">
        <v>309</v>
      </c>
      <c r="B48" s="88"/>
      <c r="C48" s="88" t="n">
        <v>-264</v>
      </c>
      <c r="D48" s="88" t="n">
        <v>-161</v>
      </c>
      <c r="E48" s="88" t="n">
        <v>10</v>
      </c>
      <c r="F48" s="88" t="n">
        <v>231</v>
      </c>
    </row>
    <row r="49" customFormat="false" ht="15" hidden="false" customHeight="false" outlineLevel="0" collapsed="false">
      <c r="A49" s="79" t="s">
        <v>310</v>
      </c>
      <c r="B49" s="88"/>
      <c r="C49" s="88" t="n">
        <v>-264</v>
      </c>
      <c r="D49" s="88" t="n">
        <v>-161</v>
      </c>
      <c r="E49" s="88" t="n">
        <v>10</v>
      </c>
      <c r="F49" s="88" t="n">
        <v>231</v>
      </c>
    </row>
    <row r="50" customFormat="false" ht="15" hidden="false" customHeight="false" outlineLevel="0" collapsed="false">
      <c r="A50" s="79" t="s">
        <v>311</v>
      </c>
      <c r="B50" s="88"/>
      <c r="C50" s="88" t="n">
        <v>-570</v>
      </c>
      <c r="D50" s="88" t="n">
        <v>-113</v>
      </c>
      <c r="E50" s="88" t="n">
        <v>4</v>
      </c>
      <c r="F50" s="88" t="n">
        <v>-207</v>
      </c>
    </row>
    <row r="51" customFormat="false" ht="15" hidden="false" customHeight="false" outlineLevel="0" collapsed="false">
      <c r="A51" s="79" t="s">
        <v>312</v>
      </c>
      <c r="B51" s="88"/>
      <c r="C51" s="88" t="n">
        <v>167</v>
      </c>
      <c r="D51" s="88" t="n">
        <v>175</v>
      </c>
      <c r="E51" s="88" t="n">
        <v>172</v>
      </c>
      <c r="F51" s="88" t="n">
        <v>165</v>
      </c>
    </row>
    <row r="52" customFormat="false" ht="15" hidden="false" customHeight="false" outlineLevel="0" collapsed="false">
      <c r="A52" s="79" t="s">
        <v>313</v>
      </c>
      <c r="B52" s="88"/>
      <c r="C52" s="88" t="n">
        <v>-346</v>
      </c>
      <c r="D52" s="88" t="n">
        <v>-686</v>
      </c>
      <c r="E52" s="88" t="n">
        <v>-574</v>
      </c>
      <c r="F52" s="88" t="n">
        <v>-126</v>
      </c>
    </row>
    <row r="53" customFormat="false" ht="15" hidden="false" customHeight="false" outlineLevel="0" collapsed="false">
      <c r="A53" s="79" t="s">
        <v>314</v>
      </c>
      <c r="B53" s="88"/>
      <c r="C53" s="88" t="n">
        <v>-346</v>
      </c>
      <c r="D53" s="88" t="n">
        <v>-686</v>
      </c>
      <c r="E53" s="88" t="n">
        <v>-574</v>
      </c>
      <c r="F53" s="88" t="n">
        <v>-126</v>
      </c>
    </row>
    <row r="54" customFormat="false" ht="15" hidden="false" customHeight="false" outlineLevel="0" collapsed="false">
      <c r="A54" s="79" t="s">
        <v>315</v>
      </c>
      <c r="B54" s="88"/>
      <c r="C54" s="88" t="n">
        <v>1871</v>
      </c>
      <c r="D54" s="88" t="n">
        <v>1978</v>
      </c>
      <c r="E54" s="88" t="n">
        <v>2097</v>
      </c>
      <c r="F54" s="88" t="n">
        <v>2199</v>
      </c>
    </row>
    <row r="55" customFormat="false" ht="15" hidden="false" customHeight="false" outlineLevel="0" collapsed="false">
      <c r="A55" s="79" t="s">
        <v>316</v>
      </c>
      <c r="B55" s="88"/>
      <c r="C55" s="88" t="n">
        <v>1871</v>
      </c>
      <c r="D55" s="88" t="n">
        <v>1978</v>
      </c>
      <c r="E55" s="88" t="n">
        <v>2097</v>
      </c>
      <c r="F55" s="88" t="n">
        <v>2199</v>
      </c>
    </row>
    <row r="56" customFormat="false" ht="15" hidden="false" customHeight="false" outlineLevel="0" collapsed="false">
      <c r="A56" s="79" t="s">
        <v>317</v>
      </c>
      <c r="B56" s="88"/>
      <c r="C56" s="88" t="n">
        <v>733</v>
      </c>
      <c r="D56" s="88" t="n">
        <v>-103</v>
      </c>
      <c r="E56" s="88" t="n">
        <v>-37</v>
      </c>
      <c r="F56" s="88" t="n">
        <v>-149</v>
      </c>
    </row>
    <row r="57" customFormat="false" ht="15" hidden="false" customHeight="false" outlineLevel="0" collapsed="false">
      <c r="A57" s="79" t="s">
        <v>318</v>
      </c>
      <c r="B57" s="88"/>
      <c r="C57" s="88" t="n">
        <v>733</v>
      </c>
      <c r="D57" s="88" t="n">
        <v>-103</v>
      </c>
      <c r="E57" s="88" t="n">
        <v>-37</v>
      </c>
      <c r="F57" s="88" t="n">
        <v>-149</v>
      </c>
    </row>
    <row r="58" customFormat="false" ht="15" hidden="false" customHeight="false" outlineLevel="0" collapsed="false">
      <c r="A58" s="79" t="s">
        <v>319</v>
      </c>
      <c r="B58" s="88"/>
      <c r="C58" s="88" t="n">
        <v>6177</v>
      </c>
      <c r="D58" s="88" t="n">
        <v>8469</v>
      </c>
      <c r="E58" s="88" t="n">
        <v>8223</v>
      </c>
      <c r="F58" s="88" t="n">
        <v>8563</v>
      </c>
    </row>
    <row r="60" customFormat="false" ht="15" hidden="false" customHeight="false" outlineLevel="0" collapsed="false">
      <c r="A60" s="2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2026-09-21T07:27:11Z</dcterms:created>
  <dc:creator>openpyxl</dc:creator>
  <dc:description/>
  <dc:language>en-US</dc:language>
  <cp:lastModifiedBy/>
  <dcterms:modified xsi:type="dcterms:W3CDTF">2026-09-22T20:17:35Z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